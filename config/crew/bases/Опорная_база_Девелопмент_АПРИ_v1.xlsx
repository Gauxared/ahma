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О_базе" sheetId="1" state="visible" r:id="rId3"/>
    <sheet name="01_Прайс_работ" sheetId="2" state="visible" r:id="rId4"/>
    <sheet name="04_Себестоимость_м2" sheetId="3" state="visible" r:id="rId5"/>
    <sheet name="02_Материалы" sheetId="4" state="visible" r:id="rId6"/>
    <sheet name="03_Оборудование_ДЦ" sheetId="5" state="visible" r:id="rId7"/>
    <sheet name="05_Параметры_ПФ_эскроу" sheetId="6" state="visible" r:id="rId8"/>
    <sheet name="06_Ставки_труда" sheetId="7" state="visible" r:id="rId9"/>
    <sheet name="07_Нормативы_выработки" sheetId="8" state="visible" r:id="rId10"/>
    <sheet name="08_Алгоритмы" sheetId="9" state="visible" r:id="rId11"/>
    <sheet name="09_Нормбаза" sheetId="10" state="visible" r:id="rId12"/>
    <sheet name="10_Реестр_объектов" sheetId="11" state="visible" r:id="rId13"/>
    <sheet name="11_Уроки" sheetId="12" state="visible" r:id="rId14"/>
    <sheet name="12_Сверка_расчёт_факт" sheetId="13" state="visible" r:id="rId15"/>
    <sheet name="13_Подрядчики_скоринг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<sst xmlns="http://schemas.openxmlformats.org/spreadsheetml/2006/main" count="744" uniqueCount="484">
  <si>
    <t xml:space="preserve">ОПОРНАЯ БАЗА · СтройИнтеллект (Девелопмент) · v1</t>
  </si>
  <si>
    <t xml:space="preserve">Расчётное ядро проекта. Засеяна реальным прогоном обезличенного объекта «Дом 8» (22-эт монолит комфорт, Екатеринбург, 194 кв, 12 153 м²). Внутренний документ 7КЛ — конфиденциально.</t>
  </si>
  <si>
    <t xml:space="preserve">НАЗНАЧЕНИЕ</t>
  </si>
  <si>
    <t xml:space="preserve">Опорная база — движок расчёта агента-заказчика (Матвеич).</t>
  </si>
  <si>
    <t xml:space="preserve">Из неё берутся расценки, цены, лид-таймы, бенчмарки ₽/м², параметры ПФ/эскроу, нормы, уроки.</t>
  </si>
  <si>
    <t xml:space="preserve">Правило базы:</t>
  </si>
  <si>
    <t xml:space="preserve">каждое значение — с источником, годом и статусом. Нет источника = допущение, а не факт.</t>
  </si>
  <si>
    <t xml:space="preserve">Срок годности 90 дней:</t>
  </si>
  <si>
    <t xml:space="preserve">цены/индексы/ставки старше 90 дней помечать на проверку. Ставка ЦБ и ставка ПФ — проверять на дату ответа.</t>
  </si>
  <si>
    <t xml:space="preserve">ЛЕГЕНДА СТАТУСОВ</t>
  </si>
  <si>
    <t xml:space="preserve">✅ ФАКТ</t>
  </si>
  <si>
    <t xml:space="preserve">источник + дата + статус «действует» (прайс/КП/договор/норматив).</t>
  </si>
  <si>
    <t xml:space="preserve">⚠ ОРИЕНТИР</t>
  </si>
  <si>
    <t xml:space="preserve">логичная оценка (в т.ч. расчётная цена 2026 без живого КП) — не верифицировано.</t>
  </si>
  <si>
    <t xml:space="preserve">❌ НЕТ ДАННЫХ</t>
  </si>
  <si>
    <t xml:space="preserve">нужен документ: от кого и к какому сроку.</t>
  </si>
  <si>
    <t xml:space="preserve">ЛЕГЕНДА ЦВЕТА ЯЧЕЕК</t>
  </si>
  <si>
    <t xml:space="preserve">Синий текст</t>
  </si>
  <si>
    <t xml:space="preserve">входные значения (правятся) — цены ₽/ед, кол-во, ставки.</t>
  </si>
  <si>
    <t xml:space="preserve">Чёрный текст</t>
  </si>
  <si>
    <t xml:space="preserve">формулы (пересчитываются).</t>
  </si>
  <si>
    <t xml:space="preserve">Зелёный текст</t>
  </si>
  <si>
    <t xml:space="preserve">ссылка на другой лист базы.</t>
  </si>
  <si>
    <t xml:space="preserve">Жёлтая заливка</t>
  </si>
  <si>
    <t xml:space="preserve">заполнить факт / проверить на дату.</t>
  </si>
  <si>
    <t xml:space="preserve">ЛИСТЫ БАЗЫ</t>
  </si>
  <si>
    <t xml:space="preserve">01_Прайс_работ</t>
  </si>
  <si>
    <t xml:space="preserve">rate card СМР по разделам — единичные расценки ТМЦ и работ (движок себестоимости).</t>
  </si>
  <si>
    <t xml:space="preserve">02_Материалы</t>
  </si>
  <si>
    <t xml:space="preserve">ключевые материалы: цена, ед, волатильность, плечо, статус.</t>
  </si>
  <si>
    <t xml:space="preserve">03_Оборудование_ДЦ</t>
  </si>
  <si>
    <t xml:space="preserve">длинноцикл: лифты, ИТП, насосы, вентиляция, ВРУ — лид-таймы и светофор.</t>
  </si>
  <si>
    <t xml:space="preserve">04_Себестоимость_м2</t>
  </si>
  <si>
    <t xml:space="preserve">бенчмарк ₽/м² по разделам (живые формулы, тянет итоги с листа 01).</t>
  </si>
  <si>
    <t xml:space="preserve">05_Параметры_ПФ_эскроу</t>
  </si>
  <si>
    <t xml:space="preserve">ставки ПФ, аванс, ГУ, маркетинг, комиссии, налог, цена продажи, темп.</t>
  </si>
  <si>
    <t xml:space="preserve">06_Ставки_труда</t>
  </si>
  <si>
    <t xml:space="preserve">расценки работ ₽/ед по разделам + каркас чел-часов.</t>
  </si>
  <si>
    <t xml:space="preserve">07_Нормативы_выработки</t>
  </si>
  <si>
    <t xml:space="preserve">каркас для норм выработки (заполнять).</t>
  </si>
  <si>
    <t xml:space="preserve">08_Алгоритмы</t>
  </si>
  <si>
    <t xml:space="preserve">формулы: себестоимость, ₽/м², проценты ПФ, дельта смета−рынок, эффект срока.</t>
  </si>
  <si>
    <t xml:space="preserve">09_Нормбаза</t>
  </si>
  <si>
    <t xml:space="preserve">документ → статус «действует/отменён» на дату.</t>
  </si>
  <si>
    <t xml:space="preserve">10_Реестр_объектов</t>
  </si>
  <si>
    <t xml:space="preserve">провенанс: объект, регион, год (Дом 8 — первый).</t>
  </si>
  <si>
    <t xml:space="preserve">11_Уроки</t>
  </si>
  <si>
    <t xml:space="preserve">находки кросс-валидации → правила-триггеры на будущее.</t>
  </si>
  <si>
    <t xml:space="preserve">12_Сверка_расчёт_факт</t>
  </si>
  <si>
    <t xml:space="preserve">каркас сверки расчёта с фактом (КС/акты) — заполнять.</t>
  </si>
  <si>
    <t xml:space="preserve">13_Подрядчики_скоринг</t>
  </si>
  <si>
    <t xml:space="preserve">каркас скоринга: РНП/ЕФРСБ/арбитраж/налоги/допуски/референсы.</t>
  </si>
  <si>
    <t xml:space="preserve">Версия / дата</t>
  </si>
  <si>
    <t xml:space="preserve">v1 · июль 2026</t>
  </si>
  <si>
    <t xml:space="preserve">01 · ПРАЙС РАБОТ (RATE CARD СМР)</t>
  </si>
  <si>
    <t xml:space="preserve">Единичные расценки ТМЦ и работ. Регион: Свердловская обл. / Екатеринбург. Базис цен: 2026 г. Источник: реальный прогон «Дом 8». Синие ₽/ед — входные; ТМЦ=кол×цТМЦ, Работы=кол×цраб — формулы. Цены без живого КП = ⚠ ОРИЕНТИР.</t>
  </si>
  <si>
    <t xml:space="preserve">№</t>
  </si>
  <si>
    <t xml:space="preserve">Позиция (по ВОР)</t>
  </si>
  <si>
    <t xml:space="preserve">Ед.</t>
  </si>
  <si>
    <t xml:space="preserve">Кол-во</t>
  </si>
  <si>
    <t xml:space="preserve">Цена ТМЦ,₽/ед</t>
  </si>
  <si>
    <t xml:space="preserve">Цена раб.,₽/ед</t>
  </si>
  <si>
    <t xml:space="preserve">ТМЦ, ₽</t>
  </si>
  <si>
    <t xml:space="preserve">Работы, ₽</t>
  </si>
  <si>
    <t xml:space="preserve">Статус</t>
  </si>
  <si>
    <t xml:space="preserve">Источник / примечание</t>
  </si>
  <si>
    <t xml:space="preserve">I · ЗЕМЛЯНЫЕ РАБОТЫ</t>
  </si>
  <si>
    <t xml:space="preserve">Разработка грунта котлована</t>
  </si>
  <si>
    <t xml:space="preserve">м³</t>
  </si>
  <si>
    <t xml:space="preserve">Дом 8, расчёт 2026</t>
  </si>
  <si>
    <t xml:space="preserve">Грунтозамена: щебень гранит. фр.40-70 + отсыпка</t>
  </si>
  <si>
    <t xml:space="preserve">Дом 8</t>
  </si>
  <si>
    <t xml:space="preserve">Обратная засыпка пазух с трамбовкой</t>
  </si>
  <si>
    <t xml:space="preserve">Итого</t>
  </si>
  <si>
    <t xml:space="preserve">II · МОНОЛИТ (бетон + арматура + опалубка)</t>
  </si>
  <si>
    <t xml:space="preserve">Бетонная подготовка B10</t>
  </si>
  <si>
    <t xml:space="preserve">Фундаментная плита B25 W6 F150</t>
  </si>
  <si>
    <t xml:space="preserve">Стены/пилоны подвала B25</t>
  </si>
  <si>
    <t xml:space="preserve">Плита перекрытия над подвалом B25</t>
  </si>
  <si>
    <t xml:space="preserve">Стены башни 2–22 эт. B25</t>
  </si>
  <si>
    <t xml:space="preserve">Плиты перекрытий башни B25</t>
  </si>
  <si>
    <t xml:space="preserve">Лестницы монолитные B25</t>
  </si>
  <si>
    <t xml:space="preserve">Арматура A500C/A240 (вязка/монтаж) — ВОЛАТИЛЬНО +~22% к 2026</t>
  </si>
  <si>
    <t xml:space="preserve">т</t>
  </si>
  <si>
    <t xml:space="preserve">Дом 8 · металл волатилен, проверять</t>
  </si>
  <si>
    <t xml:space="preserve">III · КЛАДКА И ПЕРЕГОРОДКИ</t>
  </si>
  <si>
    <t xml:space="preserve">Кладка наружн/внутр стен кирпич 250</t>
  </si>
  <si>
    <t xml:space="preserve">Перегородки кирпич/газоблок 120</t>
  </si>
  <si>
    <t xml:space="preserve">м²</t>
  </si>
  <si>
    <t xml:space="preserve">Перегородки ГКЛ</t>
  </si>
  <si>
    <t xml:space="preserve">IV · ГИДРОИЗОЛЯЦИЯ, УТЕПЛЕНИЕ, КРОВЛЯ</t>
  </si>
  <si>
    <t xml:space="preserve">Утепление наружных стен техподполья</t>
  </si>
  <si>
    <t xml:space="preserve">Гидроизоляция + Пенебар (комплекс)</t>
  </si>
  <si>
    <t xml:space="preserve">компл</t>
  </si>
  <si>
    <t xml:space="preserve">Кровля плоская К-1/К-2 (наплавл./мембрана)</t>
  </si>
  <si>
    <t xml:space="preserve">Парапетные крышки</t>
  </si>
  <si>
    <t xml:space="preserve">м.п.</t>
  </si>
  <si>
    <t xml:space="preserve">V · ФАСАД (СФТК «мокрый»)</t>
  </si>
  <si>
    <t xml:space="preserve">Фасад: утеплитель + штукатурный слой</t>
  </si>
  <si>
    <t xml:space="preserve">VI · ОКНА, ВИТРАЖИ, ДВЕРИ</t>
  </si>
  <si>
    <t xml:space="preserve">Окна ПВХ + балконные двери</t>
  </si>
  <si>
    <t xml:space="preserve">Тёплые витражи алюминий 1 эт.</t>
  </si>
  <si>
    <t xml:space="preserve">Дом 8 · длинноцикл</t>
  </si>
  <si>
    <t xml:space="preserve">Двери входные металл. (сейф) квартирные</t>
  </si>
  <si>
    <t xml:space="preserve">шт</t>
  </si>
  <si>
    <t xml:space="preserve">Двери противопожарные EI30/EI60</t>
  </si>
  <si>
    <t xml:space="preserve">VII · ЛИФТЫ</t>
  </si>
  <si>
    <t xml:space="preserve">Лифты пасс./пасс-пожарные 22-23 ост. (под ключ)</t>
  </si>
  <si>
    <t xml:space="preserve">Дом 8 · ⚠ АР даёт 3, ЭЛ/СС — 4</t>
  </si>
  <si>
    <t xml:space="preserve">VIII · МЕТАЛЛ. ОГРАЖДЕНИЯ</t>
  </si>
  <si>
    <t xml:space="preserve">Ограждения лестниц/кровли + лоджий</t>
  </si>
  <si>
    <t xml:space="preserve">Сетчатые ограждения кладовых</t>
  </si>
  <si>
    <t xml:space="preserve">IX · ОТДЕЛКА</t>
  </si>
  <si>
    <t xml:space="preserve">Отделка квартир «под чистовую» (whitebox)</t>
  </si>
  <si>
    <t xml:space="preserve">Отделка МОП / лестничных клеток / техпомещений</t>
  </si>
  <si>
    <t xml:space="preserve">X · ИНЖЕНЕРНЫЕ СИСТЕМЫ (материал+монтаж, ₽/м² общей пл.)</t>
  </si>
  <si>
    <t xml:space="preserve">Отопление (радиаторы, 22 модуля учёта, PEX)</t>
  </si>
  <si>
    <t xml:space="preserve">Водоснабжение и канализация</t>
  </si>
  <si>
    <t xml:space="preserve">Вентиляция + дымоудаление (Неватом ДУ)</t>
  </si>
  <si>
    <t xml:space="preserve">Дом 8 · ДУ длинноцикл</t>
  </si>
  <si>
    <t xml:space="preserve">Электромонтаж (ВРУ, щиты, 1332 светильн., кабель 55 км)</t>
  </si>
  <si>
    <t xml:space="preserve">Дом 8 · кабель-медь волатилен</t>
  </si>
  <si>
    <t xml:space="preserve">Слаботочка: домофония/видео/ЛВС/радио</t>
  </si>
  <si>
    <t xml:space="preserve">Пожарная сигнализация + СОУЭ</t>
  </si>
  <si>
    <t xml:space="preserve">АСКУЭ (744 узла учёта)</t>
  </si>
  <si>
    <t xml:space="preserve">Дом 8 · ⚠ 185 vs 194 кв</t>
  </si>
  <si>
    <t xml:space="preserve">АПТ спринклерное кладовых (насос + 89 орос.)</t>
  </si>
  <si>
    <t xml:space="preserve">ИТП блочный (Ридан+Wilo, БТП ~1,28 Гкал/ч)</t>
  </si>
  <si>
    <t xml:space="preserve">Дом 8 · длинноцикл/импорт</t>
  </si>
  <si>
    <t xml:space="preserve">УКУТ узел коммерч. учёта тепла</t>
  </si>
  <si>
    <t xml:space="preserve">Дом 8 · метрология СИ</t>
  </si>
  <si>
    <t xml:space="preserve">XI · ВРЕМЕННЫЕ, БАШЕННЫЙ КРАН, МЕХАНИЗАЦИЯ</t>
  </si>
  <si>
    <t xml:space="preserve">Башенный кран приставной (аренда 14 мес + мнт/дмнт)</t>
  </si>
  <si>
    <t xml:space="preserve">Временные здания и сооружения, подготовка площадки</t>
  </si>
  <si>
    <t xml:space="preserve">ПРЯМЫЕ ЗАТРАТЫ — ВСЕГО (ТМЦ + Работы)</t>
  </si>
  <si>
    <t xml:space="preserve">Прямые всего →</t>
  </si>
  <si>
    <t xml:space="preserve">04 · СЕБЕСТОИМОСТЬ ₽/м² (БЕНЧМАРК)</t>
  </si>
  <si>
    <t xml:space="preserve">Живой расчёт: прямые тянутся с листа 01 (зелёные ссылки). Полная СМР = Прямые × (1 + НР% + АХР%). ₽/м² = Полная / Площадь. Бенчмарк: комфорт-монолит, Екатеринбург, 2026.</t>
  </si>
  <si>
    <t xml:space="preserve">Параметр</t>
  </si>
  <si>
    <t xml:space="preserve">Значение</t>
  </si>
  <si>
    <t xml:space="preserve">Источник / статус</t>
  </si>
  <si>
    <t xml:space="preserve">Общая площадь дома</t>
  </si>
  <si>
    <t xml:space="preserve">ЦИМ паспорт (Дом 8)</t>
  </si>
  <si>
    <t xml:space="preserve">Накладные + сметная прибыль ГП (НР)</t>
  </si>
  <si>
    <t xml:space="preserve">доля прямых</t>
  </si>
  <si>
    <t xml:space="preserve">Приказ Минстроя №812/пр; 25–35%</t>
  </si>
  <si>
    <t xml:space="preserve">АХР застройщика/техзаказчика</t>
  </si>
  <si>
    <t xml:space="preserve">≈8 000 ₽/м²; стройконтроль/содержание</t>
  </si>
  <si>
    <t xml:space="preserve">Прямые ТМЦ (с листа 01)</t>
  </si>
  <si>
    <t xml:space="preserve">Прямые работы (с листа 01)</t>
  </si>
  <si>
    <t xml:space="preserve">ПРЯМЫЕ ЗАТРАТЫ — ВСЕГО</t>
  </si>
  <si>
    <t xml:space="preserve">Накладные + прибыль ГП</t>
  </si>
  <si>
    <t xml:space="preserve">АХР застройщика</t>
  </si>
  <si>
    <t xml:space="preserve">ПОЛНАЯ СЕБЕСТОИМОСТЬ СМР</t>
  </si>
  <si>
    <t xml:space="preserve">СЕБЕСТОИМОСТЬ, ₽/м²</t>
  </si>
  <si>
    <t xml:space="preserve">БЕНЧМАРК ₽/м² ПО ТИПАМ ПРОДУКТА (заполнять по мере объектов)</t>
  </si>
  <si>
    <t xml:space="preserve">Тип продукта / регион</t>
  </si>
  <si>
    <t xml:space="preserve">₽/м² (полная СМР)</t>
  </si>
  <si>
    <t xml:space="preserve">Год</t>
  </si>
  <si>
    <t xml:space="preserve">Источник</t>
  </si>
  <si>
    <t xml:space="preserve">Комфорт-монолит · Екатеринбург</t>
  </si>
  <si>
    <t xml:space="preserve">2026</t>
  </si>
  <si>
    <t xml:space="preserve">Дом 8 (этот расчёт)</t>
  </si>
  <si>
    <t xml:space="preserve">Малоэтажка/КОТ · —</t>
  </si>
  <si>
    <t xml:space="preserve">заполнить факт</t>
  </si>
  <si>
    <t xml:space="preserve">Бизнес-класс/КРТ · —</t>
  </si>
  <si>
    <t xml:space="preserve">Рекреация/курорт · —</t>
  </si>
  <si>
    <t xml:space="preserve">считать по узлам (нетиповой)</t>
  </si>
  <si>
    <t xml:space="preserve">02 · МАТЕРИАЛЫ (ключевые позиции)</t>
  </si>
  <si>
    <t xml:space="preserve">Цены ₽/ед — 2026, Екатеринбург. Волатильные (металл, медь-кабель) проверять на дату. Цена без КП = ⚠ ОРИЕНТИР. Плечо/поставщик — под конкретную закупку.</t>
  </si>
  <si>
    <t xml:space="preserve">Материал</t>
  </si>
  <si>
    <t xml:space="preserve">Цена ₽/ед</t>
  </si>
  <si>
    <t xml:space="preserve">Кол-во (Дом 8)</t>
  </si>
  <si>
    <t xml:space="preserve">Волатильность</t>
  </si>
  <si>
    <t xml:space="preserve">Примечание</t>
  </si>
  <si>
    <t xml:space="preserve">Бетон B25 W6 (товарный)</t>
  </si>
  <si>
    <t xml:space="preserve">~7 500</t>
  </si>
  <si>
    <t xml:space="preserve">средняя</t>
  </si>
  <si>
    <t xml:space="preserve">цена ТМЦ монолита</t>
  </si>
  <si>
    <t xml:space="preserve">Бетон B10 подготовка</t>
  </si>
  <si>
    <t xml:space="preserve">375</t>
  </si>
  <si>
    <t xml:space="preserve">низкая</t>
  </si>
  <si>
    <t xml:space="preserve">Арматура A500C/A240</t>
  </si>
  <si>
    <t xml:space="preserve">756</t>
  </si>
  <si>
    <t xml:space="preserve">ВЫСОКАЯ (+~22%/2026)</t>
  </si>
  <si>
    <t xml:space="preserve">Дом 8 / Затон Логистик</t>
  </si>
  <si>
    <t xml:space="preserve">металл — проверять на дату</t>
  </si>
  <si>
    <t xml:space="preserve">Кирпич кладочный 250</t>
  </si>
  <si>
    <t xml:space="preserve">1 538</t>
  </si>
  <si>
    <t xml:space="preserve">4 596</t>
  </si>
  <si>
    <t xml:space="preserve">Витраж алюминий тёплый</t>
  </si>
  <si>
    <t xml:space="preserve">125,4</t>
  </si>
  <si>
    <t xml:space="preserve">длинноцикл — КП</t>
  </si>
  <si>
    <t xml:space="preserve">Дверь входная сейф квартирная</t>
  </si>
  <si>
    <t xml:space="preserve">194</t>
  </si>
  <si>
    <t xml:space="preserve">Дверь противопожарная EI30/60</t>
  </si>
  <si>
    <t xml:space="preserve">108</t>
  </si>
  <si>
    <t xml:space="preserve">Кабель медь ВВГнг/FRLS</t>
  </si>
  <si>
    <t xml:space="preserve">км</t>
  </si>
  <si>
    <t xml:space="preserve">под КП</t>
  </si>
  <si>
    <t xml:space="preserve">~55,4 (силовой) / ~12,0 (FRLS)</t>
  </si>
  <si>
    <t xml:space="preserve">ВЫСОКАЯ (медь)</t>
  </si>
  <si>
    <t xml:space="preserve">цена — только по КП, медь волатильна</t>
  </si>
  <si>
    <t xml:space="preserve">Труба PEX (отопление/ВК)</t>
  </si>
  <si>
    <t xml:space="preserve">м</t>
  </si>
  <si>
    <t xml:space="preserve">~23 000</t>
  </si>
  <si>
    <t xml:space="preserve">в составе инженерки ₽/м²</t>
  </si>
  <si>
    <t xml:space="preserve">Утеплитель фасадный СФТК</t>
  </si>
  <si>
    <t xml:space="preserve">5 561</t>
  </si>
  <si>
    <t xml:space="preserve">03 · ОБОРУДОВАНИЕ ДЛИННОГО ЦИКЛА</t>
  </si>
  <si>
    <t xml:space="preserve">Карта лид-таймов: заказ по крайнему сроку под дату ввода. Светофор: 🔴 критично/импорт · 🟡 под заказ · 🟢 склад. Срыв длинноцикла = сдвиг ввода → проценты ПФ + сдвиг раскрытия эскроу.</t>
  </si>
  <si>
    <t xml:space="preserve">Оборудование</t>
  </si>
  <si>
    <t xml:space="preserve">Марка/поставщик (Дом 8)</t>
  </si>
  <si>
    <t xml:space="preserve">Лид-тайм, нед</t>
  </si>
  <si>
    <t xml:space="preserve">Светофор</t>
  </si>
  <si>
    <t xml:space="preserve">Статус цены</t>
  </si>
  <si>
    <t xml:space="preserve">Риск / примечание</t>
  </si>
  <si>
    <t xml:space="preserve">Лифты пасс./пасс-пожарные</t>
  </si>
  <si>
    <t xml:space="preserve">под ключ, 22–23 ост.</t>
  </si>
  <si>
    <t xml:space="preserve">4 ⚠</t>
  </si>
  <si>
    <t xml:space="preserve">12–16</t>
  </si>
  <si>
    <t xml:space="preserve">🔴</t>
  </si>
  <si>
    <t xml:space="preserve">⚠ АР даёт 3, ЭЛ/СС — 4; импорт-риск</t>
  </si>
  <si>
    <t xml:space="preserve">ИТП блочный (БТП ~1,28 Гкал/ч)</t>
  </si>
  <si>
    <t xml:space="preserve">Ридан + Wilo</t>
  </si>
  <si>
    <t xml:space="preserve">1</t>
  </si>
  <si>
    <t xml:space="preserve">импорт; ПНР на критич. пути к вводу</t>
  </si>
  <si>
    <t xml:space="preserve">Модули поквартирного учёта тепла</t>
  </si>
  <si>
    <t xml:space="preserve">HitermBOX + Карат</t>
  </si>
  <si>
    <t xml:space="preserve">22</t>
  </si>
  <si>
    <t xml:space="preserve">8–12</t>
  </si>
  <si>
    <t xml:space="preserve">🟡</t>
  </si>
  <si>
    <t xml:space="preserve">длинноцикл</t>
  </si>
  <si>
    <t xml:space="preserve">Насосы (ХВС/ВПВ/АПТ/подпитка)</t>
  </si>
  <si>
    <t xml:space="preserve">Wilo</t>
  </si>
  <si>
    <t xml:space="preserve">6 + АПТ</t>
  </si>
  <si>
    <t xml:space="preserve">импорт-риск</t>
  </si>
  <si>
    <t xml:space="preserve">Вентиляторы дымоудаления/подпора</t>
  </si>
  <si>
    <t xml:space="preserve">Неватом (400/600°C, спец.)</t>
  </si>
  <si>
    <t xml:space="preserve">~10</t>
  </si>
  <si>
    <t xml:space="preserve">10–14</t>
  </si>
  <si>
    <t xml:space="preserve">спец. изготовление</t>
  </si>
  <si>
    <t xml:space="preserve">Крышные вентиляторы</t>
  </si>
  <si>
    <t xml:space="preserve">Systemair</t>
  </si>
  <si>
    <t xml:space="preserve">4</t>
  </si>
  <si>
    <t xml:space="preserve">импорт</t>
  </si>
  <si>
    <t xml:space="preserve">Противопожарные клапаны</t>
  </si>
  <si>
    <t xml:space="preserve">Неватом KD / Веза ОКСИД</t>
  </si>
  <si>
    <t xml:space="preserve">~143</t>
  </si>
  <si>
    <t xml:space="preserve">6–10</t>
  </si>
  <si>
    <t xml:space="preserve">партия — заказ рано</t>
  </si>
  <si>
    <t xml:space="preserve">ВРУ и щиты</t>
  </si>
  <si>
    <t xml:space="preserve">ВРУ21ЛЭН «Лидер Энергетик»</t>
  </si>
  <si>
    <t xml:space="preserve">5 ВРУ + ~15</t>
  </si>
  <si>
    <t xml:space="preserve">сборка под заказ</t>
  </si>
  <si>
    <t xml:space="preserve">Витражи алюминиевые тёплые</t>
  </si>
  <si>
    <t xml:space="preserve">1 этаж</t>
  </si>
  <si>
    <t xml:space="preserve">125,4 м²</t>
  </si>
  <si>
    <t xml:space="preserve">УКУТ (узел коммерч. учёта тепла)</t>
  </si>
  <si>
    <t xml:space="preserve">Питерфлоу/СПТ944</t>
  </si>
  <si>
    <t xml:space="preserve">метрология: утв. типа + поверка СИ</t>
  </si>
  <si>
    <t xml:space="preserve">05 · ПАРАМЕТРЫ ПФ, ЭСКРОУ И РЕАЛИЗАЦИИ</t>
  </si>
  <si>
    <t xml:space="preserve">Стоимость денег — вне себестоимости СМР, отдельный слой доходности. Синие — входные. Жёлтые — проверять на дату (ставка ЦБ/ПФ). Источник финмодели: Дом 8, рынок ЕКБ июль 2026.</t>
  </si>
  <si>
    <t xml:space="preserve">Ставка проектного финансирования</t>
  </si>
  <si>
    <t xml:space="preserve">доля/год</t>
  </si>
  <si>
    <t xml:space="preserve">⚠ ~23%, привязка к ключу ЦБ — ПРОВЕРЯТЬ НА ДАТУ</t>
  </si>
  <si>
    <t xml:space="preserve">Аванс подрядчику (пример)</t>
  </si>
  <si>
    <t xml:space="preserve">доля</t>
  </si>
  <si>
    <t xml:space="preserve">минимизировать, требовать аванс-БГ</t>
  </si>
  <si>
    <t xml:space="preserve">Гарантийное удержание (ГУ)</t>
  </si>
  <si>
    <t xml:space="preserve">защита заказчика; замена на БГ — уступка</t>
  </si>
  <si>
    <t xml:space="preserve">Маркетинг и реклама</t>
  </si>
  <si>
    <t xml:space="preserve">доля выручки</t>
  </si>
  <si>
    <t xml:space="preserve">Дом 8: 38,5 млн / 1,93 млрд</t>
  </si>
  <si>
    <t xml:space="preserve">Коммерческие (комиссии + субсидии банкам)</t>
  </si>
  <si>
    <t xml:space="preserve">Дом 8: 157,1 млн / 1,93 млрд</t>
  </si>
  <si>
    <t xml:space="preserve">Корп. накладные + резерв</t>
  </si>
  <si>
    <t xml:space="preserve">Дом 8: 99,2 млн / 1,93 млрд</t>
  </si>
  <si>
    <t xml:space="preserve">Налог на прибыль</t>
  </si>
  <si>
    <t xml:space="preserve">НК РФ с 2025</t>
  </si>
  <si>
    <t xml:space="preserve">Срок строительства</t>
  </si>
  <si>
    <t xml:space="preserve">мес</t>
  </si>
  <si>
    <t xml:space="preserve">Дом 8 график производства</t>
  </si>
  <si>
    <t xml:space="preserve">Темп продаж</t>
  </si>
  <si>
    <t xml:space="preserve">6–9</t>
  </si>
  <si>
    <t xml:space="preserve">кв/мес</t>
  </si>
  <si>
    <t xml:space="preserve">рынок ЕКБ, комфорт</t>
  </si>
  <si>
    <t xml:space="preserve">Цена продажи — СТРЕСС</t>
  </si>
  <si>
    <t xml:space="preserve">₽/м²</t>
  </si>
  <si>
    <t xml:space="preserve">рынок ЕКБ комфорт, июль 2026</t>
  </si>
  <si>
    <t xml:space="preserve">Цена продажи — БАЗА</t>
  </si>
  <si>
    <t xml:space="preserve">медиана сопоставимых, 2 пояс</t>
  </si>
  <si>
    <t xml:space="preserve">Цена продажи — ОПТИМИЗМ</t>
  </si>
  <si>
    <t xml:space="preserve">рынок ЕКБ, верх диапазона</t>
  </si>
  <si>
    <t xml:space="preserve">Стоимость земли</t>
  </si>
  <si>
    <t xml:space="preserve">₽</t>
  </si>
  <si>
    <t xml:space="preserve">⚠ ВНЕ базы — заполнить факт по объекту</t>
  </si>
  <si>
    <t xml:space="preserve">06 · СТАВКИ ТРУДА / РАБОТ</t>
  </si>
  <si>
    <t xml:space="preserve">Расценки работ ₽/ед — на листе 01 (rate card). Здесь — сводка ставок работ по разделам и каркас для чел-часов (заполнять). Регион ЕКБ, 2026.</t>
  </si>
  <si>
    <t xml:space="preserve">Раздел / вид работ</t>
  </si>
  <si>
    <t xml:space="preserve">Ставка работ, ₽/ед</t>
  </si>
  <si>
    <t xml:space="preserve">Земляные (котлован)</t>
  </si>
  <si>
    <t xml:space="preserve">м³/раб</t>
  </si>
  <si>
    <t xml:space="preserve">Монолит (бетон, укладка)</t>
  </si>
  <si>
    <t xml:space="preserve">Арматура (вязка/монтаж)</t>
  </si>
  <si>
    <t xml:space="preserve">Кладка кирпич</t>
  </si>
  <si>
    <t xml:space="preserve">Фасад СФТК</t>
  </si>
  <si>
    <t xml:space="preserve">Отделка whitebox</t>
  </si>
  <si>
    <t xml:space="preserve">Кровля</t>
  </si>
  <si>
    <t xml:space="preserve">Чел-час ИТР (заполнить)</t>
  </si>
  <si>
    <t xml:space="preserve">чел-час</t>
  </si>
  <si>
    <t xml:space="preserve">❌ нет в Дом 8</t>
  </si>
  <si>
    <t xml:space="preserve">07 · НОРМАТИВЫ ВЫРАБОТКИ (каркас)</t>
  </si>
  <si>
    <t xml:space="preserve">Заполнять по мере накопления факта. Нужны для проверки трудозатрат подрядчика и обратного расчёта сроков. В прогоне Дом 8 отдельных норм выработки не было.</t>
  </si>
  <si>
    <t xml:space="preserve">Вид работ</t>
  </si>
  <si>
    <t xml:space="preserve">Норма выработки</t>
  </si>
  <si>
    <t xml:space="preserve">пример: Кладка кирпич — 1 звено</t>
  </si>
  <si>
    <t xml:space="preserve">~1,5</t>
  </si>
  <si>
    <t xml:space="preserve">м³/смена</t>
  </si>
  <si>
    <t xml:space="preserve">08 · АЛГОРИТМЫ РАСЧЁТА</t>
  </si>
  <si>
    <t xml:space="preserve">Формулы движка. Тип продукта только калибрует числа — логика инвариантна.</t>
  </si>
  <si>
    <t xml:space="preserve">Формула / правило</t>
  </si>
  <si>
    <t xml:space="preserve">Комментарий</t>
  </si>
  <si>
    <t xml:space="preserve">СЕБЕСТОИМОСТЬ ₽/м²</t>
  </si>
  <si>
    <t xml:space="preserve">Прямые = Σ(кол-во × цена ТМЦ) + Σ(кол-во × цена работ)</t>
  </si>
  <si>
    <t xml:space="preserve">лист 01</t>
  </si>
  <si>
    <t xml:space="preserve">Полная СМР = Прямые × (1 + НР% + АХР%)</t>
  </si>
  <si>
    <t xml:space="preserve">НР 0,28 · АХР 0,17 → ×1,45</t>
  </si>
  <si>
    <t xml:space="preserve">Себестоимость ₽/м² = Полная СМР ÷ Общая площадь</t>
  </si>
  <si>
    <t xml:space="preserve">Полная СМР ÷ 12 153 (Дом 8)</t>
  </si>
  <si>
    <t xml:space="preserve">ФИНМОДЕЛЬ ПОД ЭСКРОУ И ПФ</t>
  </si>
  <si>
    <t xml:space="preserve">Проценты ПФ = ставка × средний остаток задолженности × срок</t>
  </si>
  <si>
    <t xml:space="preserve">ставка ~23% ⚠</t>
  </si>
  <si>
    <t xml:space="preserve">Эффект срока: −1 мес стройки = −проценты ПФ + эскроу на мес раньше</t>
  </si>
  <si>
    <t xml:space="preserve">самый весомый рычаг при 23%</t>
  </si>
  <si>
    <t xml:space="preserve">Прибыль до налога = Выручка − Себест − Проценты ПФ − Маркетинг − Коммерч − Корп.накл − Земля</t>
  </si>
  <si>
    <t xml:space="preserve">Чистый результат = Прибыль до налога × (1 − Налог)</t>
  </si>
  <si>
    <t xml:space="preserve">налог 25%</t>
  </si>
  <si>
    <t xml:space="preserve">ЗАКУП / СМЕТА ПРОТИВ РЫНКА</t>
  </si>
  <si>
    <t xml:space="preserve">Дельта = (Цена сметы − Цена рынка) × Кол-во</t>
  </si>
  <si>
    <t xml:space="preserve">+ = переплата заказчика</t>
  </si>
  <si>
    <t xml:space="preserve">Целевая цена = min(рынок; смета) с обоснованием</t>
  </si>
  <si>
    <t xml:space="preserve">для торга с подрядчиком</t>
  </si>
  <si>
    <t xml:space="preserve">ЭСКРОУ</t>
  </si>
  <si>
    <t xml:space="preserve">Наполнение эскроу снижает эффективную ставку (bracket pricing)</t>
  </si>
  <si>
    <t xml:space="preserve">фиксировать механику банка</t>
  </si>
  <si>
    <t xml:space="preserve">Дата раскрытия эскроу = ввод + срок банка</t>
  </si>
  <si>
    <t xml:space="preserve">ввод в срок = деньги вовремя</t>
  </si>
  <si>
    <t xml:space="preserve">09 · НОРМБАЗА (документ → статус)</t>
  </si>
  <si>
    <t xml:space="preserve">Проверять статус «действует/отменён» на дату ответа. Ссылка на отменённый документ без оговорки = ошибка.</t>
  </si>
  <si>
    <t xml:space="preserve">Документ</t>
  </si>
  <si>
    <t xml:space="preserve">О чём</t>
  </si>
  <si>
    <t xml:space="preserve">Дата/проверка</t>
  </si>
  <si>
    <t xml:space="preserve">Приказ Минстроя №344/пр</t>
  </si>
  <si>
    <t xml:space="preserve">Состав и ведение исполнительной документации (ИД)</t>
  </si>
  <si>
    <t xml:space="preserve">действует</t>
  </si>
  <si>
    <t xml:space="preserve">на дату</t>
  </si>
  <si>
    <t xml:space="preserve">Минстрой</t>
  </si>
  <si>
    <t xml:space="preserve">РД-11-02-2006</t>
  </si>
  <si>
    <t xml:space="preserve">Состав ИД (СТАРЫЙ)</t>
  </si>
  <si>
    <t xml:space="preserve">ОТМЕНЁН → №344/пр</t>
  </si>
  <si>
    <t xml:space="preserve">РД-11-05-2007</t>
  </si>
  <si>
    <t xml:space="preserve">Общий журнал работ (СТАРЫЙ)</t>
  </si>
  <si>
    <t xml:space="preserve">ОТМЕНЁН → №1026/пр</t>
  </si>
  <si>
    <t xml:space="preserve">Приказ №1026/пр</t>
  </si>
  <si>
    <t xml:space="preserve">Общий журнал работ (ОЖР)</t>
  </si>
  <si>
    <t xml:space="preserve">ГОСТ Р 70108-2025</t>
  </si>
  <si>
    <t xml:space="preserve">Исполнительная документация</t>
  </si>
  <si>
    <t xml:space="preserve">Росстандарт</t>
  </si>
  <si>
    <t xml:space="preserve">ПП РФ №890</t>
  </si>
  <si>
    <t xml:space="preserve">Интеллектуальный учёт ЭЭ — зона гарантирующего поставщика</t>
  </si>
  <si>
    <t xml:space="preserve">действует с 01.01.2022</t>
  </si>
  <si>
    <t xml:space="preserve">Правительство РФ</t>
  </si>
  <si>
    <t xml:space="preserve">НДС базовая ставка</t>
  </si>
  <si>
    <t xml:space="preserve">22%</t>
  </si>
  <si>
    <t xml:space="preserve">с 01.01.2026</t>
  </si>
  <si>
    <t xml:space="preserve">подтверждать</t>
  </si>
  <si>
    <t xml:space="preserve">НК РФ</t>
  </si>
  <si>
    <t xml:space="preserve">214-ФЗ</t>
  </si>
  <si>
    <t xml:space="preserve">Эскроу, ДДУ, раскрытие</t>
  </si>
  <si>
    <t xml:space="preserve">—</t>
  </si>
  <si>
    <t xml:space="preserve">ГК РФ ст. 709/710/716/743/753</t>
  </si>
  <si>
    <t xml:space="preserve">Твёрдая цена, приёмка, подряд</t>
  </si>
  <si>
    <t xml:space="preserve">ГК РФ</t>
  </si>
  <si>
    <t xml:space="preserve">Приказ №812/пр</t>
  </si>
  <si>
    <t xml:space="preserve">Нормы накладных расходов (НР)</t>
  </si>
  <si>
    <t xml:space="preserve">действует (ред. 636/611)</t>
  </si>
  <si>
    <t xml:space="preserve">Приказ №774/пр</t>
  </si>
  <si>
    <t xml:space="preserve">Сметная прибыль (СП)</t>
  </si>
  <si>
    <t xml:space="preserve">Индексы Минстроя Свердл. обл. I кв.2026</t>
  </si>
  <si>
    <t xml:space="preserve">Письма №81879-ИФ/09, №6521-ИФ/09</t>
  </si>
  <si>
    <t xml:space="preserve">датировать письмо</t>
  </si>
  <si>
    <t xml:space="preserve">Индексы Минстроя Свердл. обл. II кв.2026</t>
  </si>
  <si>
    <t xml:space="preserve">Письмо №20212-ИФ/09 от 08.04.2026</t>
  </si>
  <si>
    <t xml:space="preserve">10 · РЕЕСТР ОБЪЕКТОВ (провенанс)</t>
  </si>
  <si>
    <t xml:space="preserve">Провенанс всех цифр базы. Внутренний реестр — конфиденциально. Дом 8 — первый объект (донор данных v1).</t>
  </si>
  <si>
    <t xml:space="preserve">ID</t>
  </si>
  <si>
    <t xml:space="preserve">SI-DEV-2026-001</t>
  </si>
  <si>
    <t xml:space="preserve">Объект</t>
  </si>
  <si>
    <t xml:space="preserve">Дом 8, пр. Космонавтов (внутр.), Екатеринбург</t>
  </si>
  <si>
    <t xml:space="preserve">Регион</t>
  </si>
  <si>
    <t xml:space="preserve">Свердловская обл. / Екатеринбург</t>
  </si>
  <si>
    <t xml:space="preserve">Класс</t>
  </si>
  <si>
    <t xml:space="preserve">Комфорт</t>
  </si>
  <si>
    <t xml:space="preserve">Конструктив</t>
  </si>
  <si>
    <t xml:space="preserve">Монолит</t>
  </si>
  <si>
    <t xml:space="preserve">Этажность / высота</t>
  </si>
  <si>
    <t xml:space="preserve">22 этажа / ~71,8 м</t>
  </si>
  <si>
    <t xml:space="preserve">Квартир</t>
  </si>
  <si>
    <t xml:space="preserve">194 (⚠ АСКУЭ: 185 — расхождение)</t>
  </si>
  <si>
    <t xml:space="preserve">Общая площадь</t>
  </si>
  <si>
    <t xml:space="preserve">12 153 м²</t>
  </si>
  <si>
    <t xml:space="preserve">Себестоимость СМР</t>
  </si>
  <si>
    <t xml:space="preserve">828,6 млн ₽ / 68 184 ₽/м² (без земли)</t>
  </si>
  <si>
    <t xml:space="preserve">14 мес</t>
  </si>
  <si>
    <t xml:space="preserve">Финансирование</t>
  </si>
  <si>
    <t xml:space="preserve">Эскроу + проектный кредит (214-ФЗ)</t>
  </si>
  <si>
    <t xml:space="preserve">Цифровая модель</t>
  </si>
  <si>
    <t xml:space="preserve">ЦИМ v11 — 26 листов, сквозная ВОР 153 позиции</t>
  </si>
  <si>
    <t xml:space="preserve">Что вошло</t>
  </si>
  <si>
    <t xml:space="preserve">КЖ · АР · ОВ · ВК · ОВ2 · ЭЛ · АПТ · СС · АСКУЭ · ИТП · ПС · УКУТ</t>
  </si>
  <si>
    <t xml:space="preserve">модель + себестоимость + график 14 мес + финмодель продаж</t>
  </si>
  <si>
    <t xml:space="preserve">Базис цен</t>
  </si>
  <si>
    <t xml:space="preserve">2026 г.</t>
  </si>
  <si>
    <t xml:space="preserve">Донор</t>
  </si>
  <si>
    <t xml:space="preserve">данные v1 опорной базы</t>
  </si>
  <si>
    <t xml:space="preserve">Следующие объекты — добавлять строками ниже (объект · регион · класс · ₽/м² · год · источник).</t>
  </si>
  <si>
    <t xml:space="preserve">11 · УРОКИ КРОСС-ВАЛИДАЦИИ → ПРАВИЛА</t>
  </si>
  <si>
    <t xml:space="preserve">Находки на реальном прогоне превращаются в правила-триггеры: что проверять на любом следующем объекте.</t>
  </si>
  <si>
    <t xml:space="preserve">Что было (Дом 8)</t>
  </si>
  <si>
    <t xml:space="preserve">Правило-триггер на будущее</t>
  </si>
  <si>
    <t xml:space="preserve">Зона</t>
  </si>
  <si>
    <t xml:space="preserve">194 квартиры по всем разделам, но 185 по АСКУЭ (счётчики)</t>
  </si>
  <si>
    <t xml:space="preserve">Сверять per-unit позиции (счётчики, домофоны, двери) с числом квартир по всем маркам</t>
  </si>
  <si>
    <t xml:space="preserve">Кросс-валидация</t>
  </si>
  <si>
    <t xml:space="preserve">Лифты: АР даёт 3, электрика и слаботочка — 4</t>
  </si>
  <si>
    <t xml:space="preserve">Сверять число лифтов между АР ↔ ЭЛ ↔ СС до заказа (длинный цикл, дорого)</t>
  </si>
  <si>
    <t xml:space="preserve">ГИП/Снаб</t>
  </si>
  <si>
    <t xml:space="preserve">Бланки подбора и КП подписаны другим объектом («Изумр. бор»,«ЖД №3»)</t>
  </si>
  <si>
    <t xml:space="preserve">КП и цену принимать только под свой объект; чужой бланк = ориентир, не факт</t>
  </si>
  <si>
    <t xml:space="preserve">Снаб</t>
  </si>
  <si>
    <t xml:space="preserve">Крепёж выпусков ф12 (420 кг) задвоен в плите; закладные СС.КЖ общие</t>
  </si>
  <si>
    <t xml:space="preserve">Не задваивать закладные/крепёж между разделами (ПС/СОУЭ/СС/АСКУЭ общий пакет)</t>
  </si>
  <si>
    <t xml:space="preserve">Смета</t>
  </si>
  <si>
    <t xml:space="preserve">Теплобаланс ИТП (0,938 Гкал/ч) сошёлся с вентиляцией (34,66 кВт)</t>
  </si>
  <si>
    <t xml:space="preserve">Сверять тепловой баланс ИТП ↔ ОВ ↔ вентиляция — целостность схемы</t>
  </si>
  <si>
    <t xml:space="preserve">ГИП</t>
  </si>
  <si>
    <t xml:space="preserve">Нумерация КЖ2/3/4 переставлена между ведомостью КЖ0 и декабрьскими комплектами</t>
  </si>
  <si>
    <t xml:space="preserve">Работать по актуальной редакции комплектов; ловить смену нумерации марок</t>
  </si>
  <si>
    <t xml:space="preserve">ПТО</t>
  </si>
  <si>
    <t xml:space="preserve">Этажность 22 факт против 23 в титуле</t>
  </si>
  <si>
    <t xml:space="preserve">Сверять этажность титул ↔ КЖ ↔ АР до расчёта объёмов</t>
  </si>
  <si>
    <t xml:space="preserve">ОВ выдан в изм.1 и изм.2 одновременно</t>
  </si>
  <si>
    <t xml:space="preserve">Изымать устаревшую редакцию, считать по последней (изм.N)</t>
  </si>
  <si>
    <t xml:space="preserve">Расход АПТ 30 vs 48,3 л/с; наружное ПТ 30 vs 60 л/с</t>
  </si>
  <si>
    <t xml:space="preserve">Сводить противоречивые исходные данные до подбора насоса/ввода</t>
  </si>
  <si>
    <t xml:space="preserve">Счётчики ЭЭ — зона гарантирующего поставщика (ПП №890)</t>
  </si>
  <si>
    <t xml:space="preserve">Разграничивать границы затрат (кто закупает/монтирует), чтобы не заплатить дважды</t>
  </si>
  <si>
    <t xml:space="preserve">Договор</t>
  </si>
  <si>
    <t xml:space="preserve">ИТП/лифты/вентиляторы ДУ — длинный цикл, импорт</t>
  </si>
  <si>
    <t xml:space="preserve">Ставить длинноцикл на крайний срок заказа под дату ввода → эскроу</t>
  </si>
  <si>
    <t xml:space="preserve">12 · СВЕРКА РАСЧЁТ ↔ ФАКТ (каркас)</t>
  </si>
  <si>
    <t xml:space="preserve">Заполнять по мере поступления КС-2/КС-3 и актов. Дельта = Факт − Расчёт. Отклонение выше порога — сигнал.</t>
  </si>
  <si>
    <t xml:space="preserve">Раздел</t>
  </si>
  <si>
    <t xml:space="preserve">Расчёт, ₽</t>
  </si>
  <si>
    <t xml:space="preserve">Факт, ₽</t>
  </si>
  <si>
    <t xml:space="preserve">Дельта, ₽</t>
  </si>
  <si>
    <t xml:space="preserve">Причина / вывод</t>
  </si>
  <si>
    <t xml:space="preserve">пример: Дом 8</t>
  </si>
  <si>
    <t xml:space="preserve">13 · ПОДРЯДЧИКИ — СКОРИНГ (каркас)</t>
  </si>
  <si>
    <t xml:space="preserve">Скоринг ДО тендерного вердикта (особенно новый регион). Живой поиск: РНП (zakupki), ЕФРСБ/Федресурс, арбитраж, налоги. Балл 1–5. Заниженная цена — тоже риск.</t>
  </si>
  <si>
    <t xml:space="preserve">Наименование</t>
  </si>
  <si>
    <t xml:space="preserve">ИНН</t>
  </si>
  <si>
    <t xml:space="preserve">РНП</t>
  </si>
  <si>
    <t xml:space="preserve">ЕФРСБ/банкрот</t>
  </si>
  <si>
    <t xml:space="preserve">Арбитраж</t>
  </si>
  <si>
    <t xml:space="preserve">Налоги</t>
  </si>
  <si>
    <t xml:space="preserve">Допуски СРО/НАКС</t>
  </si>
  <si>
    <t xml:space="preserve">Референсы</t>
  </si>
  <si>
    <t xml:space="preserve">Балл 1–5</t>
  </si>
  <si>
    <t xml:space="preserve">Вердикт</t>
  </si>
  <si>
    <t xml:space="preserve">пример: ООО «...»</t>
  </si>
  <si>
    <t xml:space="preserve">нет</t>
  </si>
  <si>
    <t xml:space="preserve">брать с условиями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</si>
</sst>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24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1632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CC"/>
      <name val="Arial"/>
      <family val="0"/>
      <charset val="1"/>
    </font>
    <font>
      <b val="true"/>
      <sz val="9"/>
      <color rgb="FF9A6B00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A7A3D"/>
      <name val="Arial"/>
      <family val="0"/>
      <charset val="1"/>
    </font>
    <font>
      <b val="true"/>
      <sz val="9"/>
      <color rgb="FF0A7A3D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B3261E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1E7A44"/>
      <name val="Arial"/>
      <family val="0"/>
      <charset val="1"/>
    </font>
    <font>
      <b val="true"/>
      <sz val="9"/>
      <color rgb="FF16324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E4E7EC"/>
        <bgColor rgb="FFEEF0F3"/>
      </patternFill>
    </fill>
    <fill>
      <patternFill patternType="solid">
        <fgColor rgb="FFEEF0F3"/>
        <bgColor rgb="FFE4E7EC"/>
      </patternFill>
    </fill>
    <fill>
      <patternFill patternType="solid">
        <fgColor rgb="FFFBE7E8"/>
        <bgColor rgb="FFEEF0F3"/>
      </patternFill>
    </fill>
    <fill>
      <patternFill patternType="solid">
        <fgColor rgb="FFFFF6D5"/>
        <bgColor rgb="FFFBE7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AE0"/>
      </left>
      <right style="thin">
        <color rgb="FFD6DAE0"/>
      </right>
      <top style="thin">
        <color rgb="FFD6DAE0"/>
      </top>
      <bottom style="thin">
        <color rgb="FFD6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A7A3D"/>
      <rgbColor rgb="FF000080"/>
      <rgbColor rgb="FF9A6B00"/>
      <rgbColor rgb="FF800080"/>
      <rgbColor rgb="FF1E7A44"/>
      <rgbColor rgb="FFC0C0C0"/>
      <rgbColor rgb="FF808080"/>
      <rgbColor rgb="FF9999FF"/>
      <rgbColor rgb="FFC0392B"/>
      <rgbColor rgb="FFFFF6D5"/>
      <rgbColor rgb="FFEEF0F3"/>
      <rgbColor rgb="FF660066"/>
      <rgbColor rgb="FFFF8080"/>
      <rgbColor rgb="FF0066CC"/>
      <rgbColor rgb="FFD6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CCFFCC"/>
      <rgbColor rgb="FFFBE7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6324F"/>
      <rgbColor rgb="FF339966"/>
      <rgbColor rgb="FF003300"/>
      <rgbColor rgb="FF222222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5"/>
    </row>
    <row r="4" customFormat="false" ht="15" hidden="false" customHeight="true" outlineLevel="0" collapsed="false">
      <c r="A4" s="6" t="s">
        <v>2</v>
      </c>
      <c r="B4" s="5"/>
    </row>
    <row r="5" customFormat="false" ht="15" hidden="false" customHeight="true" outlineLevel="0" collapsed="false">
      <c r="A5" s="4" t="s">
        <v>3</v>
      </c>
      <c r="B5" s="5" t="s">
        <v>4</v>
      </c>
    </row>
    <row r="6" customFormat="false" ht="15" hidden="false" customHeight="true" outlineLevel="0" collapsed="false">
      <c r="A6" s="4" t="s">
        <v>5</v>
      </c>
      <c r="B6" s="5" t="s">
        <v>6</v>
      </c>
    </row>
    <row r="7" customFormat="false" ht="23.25" hidden="false" customHeight="true" outlineLevel="0" collapsed="false">
      <c r="A7" s="4" t="s">
        <v>7</v>
      </c>
      <c r="B7" s="5" t="s">
        <v>8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6" t="s">
        <v>9</v>
      </c>
      <c r="B9" s="5"/>
    </row>
    <row r="10" customFormat="false" ht="15" hidden="false" customHeight="true" outlineLevel="0" collapsed="false">
      <c r="A10" s="4" t="s">
        <v>10</v>
      </c>
      <c r="B10" s="5" t="s">
        <v>11</v>
      </c>
    </row>
    <row r="11" customFormat="false" ht="15" hidden="false" customHeight="true" outlineLevel="0" collapsed="false">
      <c r="A11" s="4" t="s">
        <v>12</v>
      </c>
      <c r="B11" s="5" t="s">
        <v>13</v>
      </c>
    </row>
    <row r="12" customFormat="false" ht="15" hidden="false" customHeight="true" outlineLevel="0" collapsed="false">
      <c r="A12" s="4" t="s">
        <v>14</v>
      </c>
      <c r="B12" s="5" t="s">
        <v>15</v>
      </c>
    </row>
    <row r="13" customFormat="false" ht="15" hidden="false" customHeight="true" outlineLevel="0" collapsed="false">
      <c r="A13" s="4"/>
      <c r="B13" s="5"/>
    </row>
    <row r="14" customFormat="false" ht="15" hidden="false" customHeight="true" outlineLevel="0" collapsed="false">
      <c r="A14" s="6" t="s">
        <v>16</v>
      </c>
      <c r="B14" s="5"/>
    </row>
    <row r="15" customFormat="false" ht="15" hidden="false" customHeight="true" outlineLevel="0" collapsed="false">
      <c r="A15" s="4" t="s">
        <v>17</v>
      </c>
      <c r="B15" s="5" t="s">
        <v>18</v>
      </c>
    </row>
    <row r="16" customFormat="false" ht="15" hidden="false" customHeight="true" outlineLevel="0" collapsed="false">
      <c r="A16" s="4" t="s">
        <v>19</v>
      </c>
      <c r="B16" s="5" t="s">
        <v>20</v>
      </c>
    </row>
    <row r="17" customFormat="false" ht="15" hidden="false" customHeight="true" outlineLevel="0" collapsed="false">
      <c r="A17" s="4" t="s">
        <v>21</v>
      </c>
      <c r="B17" s="5" t="s">
        <v>22</v>
      </c>
    </row>
    <row r="18" customFormat="false" ht="15" hidden="false" customHeight="true" outlineLevel="0" collapsed="false">
      <c r="A18" s="4" t="s">
        <v>23</v>
      </c>
      <c r="B18" s="5" t="s">
        <v>24</v>
      </c>
    </row>
    <row r="19" customFormat="false" ht="15" hidden="false" customHeight="true" outlineLevel="0" collapsed="false">
      <c r="A19" s="4"/>
      <c r="B19" s="5"/>
    </row>
    <row r="20" customFormat="false" ht="15" hidden="false" customHeight="true" outlineLevel="0" collapsed="false">
      <c r="A20" s="6" t="s">
        <v>25</v>
      </c>
      <c r="B20" s="5"/>
    </row>
    <row r="21" customFormat="false" ht="15" hidden="false" customHeight="true" outlineLevel="0" collapsed="false">
      <c r="A21" s="7" t="s">
        <v>26</v>
      </c>
      <c r="B21" s="5" t="s">
        <v>27</v>
      </c>
    </row>
    <row r="22" customFormat="false" ht="15" hidden="false" customHeight="true" outlineLevel="0" collapsed="false">
      <c r="A22" s="7" t="s">
        <v>28</v>
      </c>
      <c r="B22" s="5" t="s">
        <v>29</v>
      </c>
    </row>
    <row r="23" customFormat="false" ht="15" hidden="false" customHeight="true" outlineLevel="0" collapsed="false">
      <c r="A23" s="7" t="s">
        <v>30</v>
      </c>
      <c r="B23" s="5" t="s">
        <v>31</v>
      </c>
    </row>
    <row r="24" customFormat="false" ht="15" hidden="false" customHeight="true" outlineLevel="0" collapsed="false">
      <c r="A24" s="7" t="s">
        <v>32</v>
      </c>
      <c r="B24" s="5" t="s">
        <v>33</v>
      </c>
    </row>
    <row r="25" customFormat="false" ht="15" hidden="false" customHeight="true" outlineLevel="0" collapsed="false">
      <c r="A25" s="7" t="s">
        <v>34</v>
      </c>
      <c r="B25" s="5" t="s">
        <v>35</v>
      </c>
    </row>
    <row r="26" customFormat="false" ht="15" hidden="false" customHeight="true" outlineLevel="0" collapsed="false">
      <c r="A26" s="7" t="s">
        <v>36</v>
      </c>
      <c r="B26" s="5" t="s">
        <v>37</v>
      </c>
    </row>
    <row r="27" customFormat="false" ht="15" hidden="false" customHeight="true" outlineLevel="0" collapsed="false">
      <c r="A27" s="7" t="s">
        <v>38</v>
      </c>
      <c r="B27" s="5" t="s">
        <v>39</v>
      </c>
    </row>
    <row r="28" customFormat="false" ht="15" hidden="false" customHeight="true" outlineLevel="0" collapsed="false">
      <c r="A28" s="7" t="s">
        <v>40</v>
      </c>
      <c r="B28" s="5" t="s">
        <v>41</v>
      </c>
    </row>
    <row r="29" customFormat="false" ht="15" hidden="false" customHeight="true" outlineLevel="0" collapsed="false">
      <c r="A29" s="7" t="s">
        <v>42</v>
      </c>
      <c r="B29" s="5" t="s">
        <v>43</v>
      </c>
    </row>
    <row r="30" customFormat="false" ht="15" hidden="false" customHeight="true" outlineLevel="0" collapsed="false">
      <c r="A30" s="7" t="s">
        <v>44</v>
      </c>
      <c r="B30" s="5" t="s">
        <v>45</v>
      </c>
    </row>
    <row r="31" customFormat="false" ht="15" hidden="false" customHeight="true" outlineLevel="0" collapsed="false">
      <c r="A31" s="7" t="s">
        <v>46</v>
      </c>
      <c r="B31" s="5" t="s">
        <v>47</v>
      </c>
    </row>
    <row r="32" customFormat="false" ht="15" hidden="false" customHeight="true" outlineLevel="0" collapsed="false">
      <c r="A32" s="7" t="s">
        <v>48</v>
      </c>
      <c r="B32" s="5" t="s">
        <v>49</v>
      </c>
    </row>
    <row r="33" customFormat="false" ht="15" hidden="false" customHeight="true" outlineLevel="0" collapsed="false">
      <c r="A33" s="7" t="s">
        <v>50</v>
      </c>
      <c r="B33" s="5" t="s">
        <v>51</v>
      </c>
    </row>
    <row r="34" customFormat="false" ht="15" hidden="false" customHeight="true" outlineLevel="0" collapsed="false">
      <c r="A34" s="4"/>
      <c r="B34" s="5"/>
    </row>
    <row r="35" customFormat="false" ht="15" hidden="false" customHeight="true" outlineLevel="0" collapsed="false">
      <c r="A35" s="4" t="s">
        <v>52</v>
      </c>
      <c r="B35" s="5" t="s">
        <v>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6" min="5" style="1" width="13"/>
    <col collapsed="false" customWidth="true" hidden="false" outlineLevel="0" max="8" min="7" style="1" width="14"/>
    <col collapsed="false" customWidth="true" hidden="false" outlineLevel="0" max="9" min="9" style="1" width="15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55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8" t="s">
        <v>56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61</v>
      </c>
      <c r="G4" s="8" t="s">
        <v>62</v>
      </c>
      <c r="H4" s="8" t="s">
        <v>63</v>
      </c>
      <c r="I4" s="8" t="s">
        <v>64</v>
      </c>
      <c r="J4" s="8" t="s">
        <v>65</v>
      </c>
    </row>
    <row r="5" customFormat="false" ht="15" hidden="false" customHeight="true" outlineLevel="0" collapsed="false">
      <c r="A5" s="9" t="s">
        <v>66</v>
      </c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true" outlineLevel="0" collapsed="false">
      <c r="A6" s="10" t="n">
        <v>1</v>
      </c>
      <c r="B6" s="11" t="s">
        <v>67</v>
      </c>
      <c r="C6" s="10" t="s">
        <v>68</v>
      </c>
      <c r="D6" s="12" t="n">
        <v>8303</v>
      </c>
      <c r="E6" s="13" t="n">
        <v>0</v>
      </c>
      <c r="F6" s="13" t="n">
        <v>600</v>
      </c>
      <c r="G6" s="14" t="n">
        <f aca="false">D6*E6</f>
        <v>0</v>
      </c>
      <c r="H6" s="14" t="n">
        <f aca="false">D6*F6</f>
        <v>4981800</v>
      </c>
      <c r="I6" s="15" t="s">
        <v>12</v>
      </c>
      <c r="J6" s="16" t="s">
        <v>69</v>
      </c>
    </row>
    <row r="7" customFormat="false" ht="15" hidden="false" customHeight="true" outlineLevel="0" collapsed="false">
      <c r="A7" s="10" t="n">
        <v>2</v>
      </c>
      <c r="B7" s="11" t="s">
        <v>70</v>
      </c>
      <c r="C7" s="10" t="s">
        <v>68</v>
      </c>
      <c r="D7" s="12" t="n">
        <v>3090</v>
      </c>
      <c r="E7" s="13" t="n">
        <v>1900</v>
      </c>
      <c r="F7" s="13" t="n">
        <v>400</v>
      </c>
      <c r="G7" s="14" t="n">
        <f aca="false">D7*E7</f>
        <v>5871000</v>
      </c>
      <c r="H7" s="14" t="n">
        <f aca="false">D7*F7</f>
        <v>1236000</v>
      </c>
      <c r="I7" s="15" t="s">
        <v>12</v>
      </c>
      <c r="J7" s="16" t="s">
        <v>71</v>
      </c>
    </row>
    <row r="8" customFormat="false" ht="15" hidden="false" customHeight="true" outlineLevel="0" collapsed="false">
      <c r="A8" s="10" t="n">
        <v>3</v>
      </c>
      <c r="B8" s="11" t="s">
        <v>72</v>
      </c>
      <c r="C8" s="10" t="s">
        <v>68</v>
      </c>
      <c r="D8" s="12" t="n">
        <v>1950</v>
      </c>
      <c r="E8" s="13" t="n">
        <v>0</v>
      </c>
      <c r="F8" s="13" t="n">
        <v>420</v>
      </c>
      <c r="G8" s="14" t="n">
        <f aca="false">D8*E8</f>
        <v>0</v>
      </c>
      <c r="H8" s="14" t="n">
        <f aca="false">D8*F8</f>
        <v>819000</v>
      </c>
      <c r="I8" s="15" t="s">
        <v>12</v>
      </c>
      <c r="J8" s="16" t="s">
        <v>71</v>
      </c>
    </row>
    <row r="9" customFormat="false" ht="15" hidden="false" customHeight="true" outlineLevel="0" collapsed="false">
      <c r="A9" s="17"/>
      <c r="B9" s="18" t="s">
        <v>73</v>
      </c>
      <c r="C9" s="17"/>
      <c r="D9" s="17"/>
      <c r="E9" s="17"/>
      <c r="F9" s="17"/>
      <c r="G9" s="19" t="n">
        <f aca="false">SUM(G6:G8)</f>
        <v>5871000</v>
      </c>
      <c r="H9" s="19" t="n">
        <f aca="false">SUM(H6:H8)</f>
        <v>7036800</v>
      </c>
      <c r="I9" s="17"/>
      <c r="J9" s="17"/>
    </row>
    <row r="10" customFormat="false" ht="15" hidden="false" customHeight="true" outlineLevel="0" collapsed="false">
      <c r="A10" s="9" t="s">
        <v>74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true" outlineLevel="0" collapsed="false">
      <c r="A11" s="10" t="n">
        <v>4</v>
      </c>
      <c r="B11" s="11" t="s">
        <v>75</v>
      </c>
      <c r="C11" s="10" t="s">
        <v>68</v>
      </c>
      <c r="D11" s="12" t="n">
        <v>375</v>
      </c>
      <c r="E11" s="13" t="n">
        <v>4000</v>
      </c>
      <c r="F11" s="13" t="n">
        <v>3000</v>
      </c>
      <c r="G11" s="14" t="n">
        <f aca="false">D11*E11</f>
        <v>1500000</v>
      </c>
      <c r="H11" s="14" t="n">
        <f aca="false">D11*F11</f>
        <v>1125000</v>
      </c>
      <c r="I11" s="15" t="s">
        <v>12</v>
      </c>
      <c r="J11" s="16" t="s">
        <v>71</v>
      </c>
    </row>
    <row r="12" customFormat="false" ht="15" hidden="false" customHeight="true" outlineLevel="0" collapsed="false">
      <c r="A12" s="10" t="n">
        <v>5</v>
      </c>
      <c r="B12" s="11" t="s">
        <v>76</v>
      </c>
      <c r="C12" s="10" t="s">
        <v>68</v>
      </c>
      <c r="D12" s="12" t="n">
        <v>934.7</v>
      </c>
      <c r="E12" s="13" t="n">
        <v>5100</v>
      </c>
      <c r="F12" s="13" t="n">
        <v>7500</v>
      </c>
      <c r="G12" s="14" t="n">
        <f aca="false">D12*E12</f>
        <v>4766970</v>
      </c>
      <c r="H12" s="14" t="n">
        <f aca="false">D12*F12</f>
        <v>7010250</v>
      </c>
      <c r="I12" s="15" t="s">
        <v>12</v>
      </c>
      <c r="J12" s="16" t="s">
        <v>71</v>
      </c>
    </row>
    <row r="13" customFormat="false" ht="15" hidden="false" customHeight="true" outlineLevel="0" collapsed="false">
      <c r="A13" s="10" t="n">
        <v>6</v>
      </c>
      <c r="B13" s="11" t="s">
        <v>77</v>
      </c>
      <c r="C13" s="10" t="s">
        <v>68</v>
      </c>
      <c r="D13" s="12" t="n">
        <v>193</v>
      </c>
      <c r="E13" s="13" t="n">
        <v>5100</v>
      </c>
      <c r="F13" s="13" t="n">
        <v>7500</v>
      </c>
      <c r="G13" s="14" t="n">
        <f aca="false">D13*E13</f>
        <v>984300</v>
      </c>
      <c r="H13" s="14" t="n">
        <f aca="false">D13*F13</f>
        <v>1447500</v>
      </c>
      <c r="I13" s="15" t="s">
        <v>12</v>
      </c>
      <c r="J13" s="16" t="s">
        <v>71</v>
      </c>
    </row>
    <row r="14" customFormat="false" ht="15" hidden="false" customHeight="true" outlineLevel="0" collapsed="false">
      <c r="A14" s="10" t="n">
        <v>7</v>
      </c>
      <c r="B14" s="11" t="s">
        <v>78</v>
      </c>
      <c r="C14" s="10" t="s">
        <v>68</v>
      </c>
      <c r="D14" s="12" t="n">
        <v>144.4</v>
      </c>
      <c r="E14" s="13" t="n">
        <v>5100</v>
      </c>
      <c r="F14" s="13" t="n">
        <v>7500</v>
      </c>
      <c r="G14" s="14" t="n">
        <f aca="false">D14*E14</f>
        <v>736440</v>
      </c>
      <c r="H14" s="14" t="n">
        <f aca="false">D14*F14</f>
        <v>1083000</v>
      </c>
      <c r="I14" s="15" t="s">
        <v>12</v>
      </c>
      <c r="J14" s="16" t="s">
        <v>71</v>
      </c>
    </row>
    <row r="15" customFormat="false" ht="15" hidden="false" customHeight="true" outlineLevel="0" collapsed="false">
      <c r="A15" s="10" t="n">
        <v>8</v>
      </c>
      <c r="B15" s="11" t="s">
        <v>79</v>
      </c>
      <c r="C15" s="10" t="s">
        <v>68</v>
      </c>
      <c r="D15" s="12" t="n">
        <v>2640</v>
      </c>
      <c r="E15" s="13" t="n">
        <v>5100</v>
      </c>
      <c r="F15" s="13" t="n">
        <v>7500</v>
      </c>
      <c r="G15" s="14" t="n">
        <f aca="false">D15*E15</f>
        <v>13464000</v>
      </c>
      <c r="H15" s="14" t="n">
        <f aca="false">D15*F15</f>
        <v>19800000</v>
      </c>
      <c r="I15" s="15" t="s">
        <v>12</v>
      </c>
      <c r="J15" s="16" t="s">
        <v>71</v>
      </c>
    </row>
    <row r="16" customFormat="false" ht="15" hidden="false" customHeight="true" outlineLevel="0" collapsed="false">
      <c r="A16" s="10" t="n">
        <v>9</v>
      </c>
      <c r="B16" s="11" t="s">
        <v>80</v>
      </c>
      <c r="C16" s="10" t="s">
        <v>68</v>
      </c>
      <c r="D16" s="12" t="n">
        <v>3586</v>
      </c>
      <c r="E16" s="13" t="n">
        <v>5100</v>
      </c>
      <c r="F16" s="13" t="n">
        <v>7500</v>
      </c>
      <c r="G16" s="14" t="n">
        <f aca="false">D16*E16</f>
        <v>18288600</v>
      </c>
      <c r="H16" s="14" t="n">
        <f aca="false">D16*F16</f>
        <v>26895000</v>
      </c>
      <c r="I16" s="15" t="s">
        <v>12</v>
      </c>
      <c r="J16" s="16" t="s">
        <v>71</v>
      </c>
    </row>
    <row r="17" customFormat="false" ht="15" hidden="false" customHeight="true" outlineLevel="0" collapsed="false">
      <c r="A17" s="10" t="n">
        <v>10</v>
      </c>
      <c r="B17" s="11" t="s">
        <v>81</v>
      </c>
      <c r="C17" s="10" t="s">
        <v>68</v>
      </c>
      <c r="D17" s="12" t="n">
        <v>23.27</v>
      </c>
      <c r="E17" s="13" t="n">
        <v>5100</v>
      </c>
      <c r="F17" s="13" t="n">
        <v>8000</v>
      </c>
      <c r="G17" s="14" t="n">
        <f aca="false">D17*E17</f>
        <v>118677</v>
      </c>
      <c r="H17" s="14" t="n">
        <f aca="false">D17*F17</f>
        <v>186160</v>
      </c>
      <c r="I17" s="15" t="s">
        <v>12</v>
      </c>
      <c r="J17" s="16" t="s">
        <v>71</v>
      </c>
    </row>
    <row r="18" customFormat="false" ht="21.75" hidden="false" customHeight="true" outlineLevel="0" collapsed="false">
      <c r="A18" s="10" t="n">
        <v>11</v>
      </c>
      <c r="B18" s="11" t="s">
        <v>82</v>
      </c>
      <c r="C18" s="10" t="s">
        <v>83</v>
      </c>
      <c r="D18" s="12" t="n">
        <v>756</v>
      </c>
      <c r="E18" s="13" t="n">
        <v>58000</v>
      </c>
      <c r="F18" s="13" t="n">
        <v>15000</v>
      </c>
      <c r="G18" s="14" t="n">
        <f aca="false">D18*E18</f>
        <v>43848000</v>
      </c>
      <c r="H18" s="14" t="n">
        <f aca="false">D18*F18</f>
        <v>11340000</v>
      </c>
      <c r="I18" s="15" t="s">
        <v>12</v>
      </c>
      <c r="J18" s="16" t="s">
        <v>84</v>
      </c>
    </row>
    <row r="19" customFormat="false" ht="15" hidden="false" customHeight="true" outlineLevel="0" collapsed="false">
      <c r="A19" s="17"/>
      <c r="B19" s="18" t="s">
        <v>73</v>
      </c>
      <c r="C19" s="17"/>
      <c r="D19" s="17"/>
      <c r="E19" s="17"/>
      <c r="F19" s="17"/>
      <c r="G19" s="19" t="n">
        <f aca="false">SUM(G11:G18)</f>
        <v>83706987</v>
      </c>
      <c r="H19" s="19" t="n">
        <f aca="false">SUM(H11:H18)</f>
        <v>68886910</v>
      </c>
      <c r="I19" s="17"/>
      <c r="J19" s="17"/>
    </row>
    <row r="20" customFormat="false" ht="15" hidden="false" customHeight="true" outlineLevel="0" collapsed="false">
      <c r="A20" s="9" t="s">
        <v>85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true" outlineLevel="0" collapsed="false">
      <c r="A21" s="10" t="n">
        <v>12</v>
      </c>
      <c r="B21" s="11" t="s">
        <v>86</v>
      </c>
      <c r="C21" s="10" t="s">
        <v>68</v>
      </c>
      <c r="D21" s="12" t="n">
        <v>1538</v>
      </c>
      <c r="E21" s="13" t="n">
        <v>9000</v>
      </c>
      <c r="F21" s="13" t="n">
        <v>2500</v>
      </c>
      <c r="G21" s="14" t="n">
        <f aca="false">D21*E21</f>
        <v>13842000</v>
      </c>
      <c r="H21" s="14" t="n">
        <f aca="false">D21*F21</f>
        <v>3845000</v>
      </c>
      <c r="I21" s="15" t="s">
        <v>12</v>
      </c>
      <c r="J21" s="16" t="s">
        <v>71</v>
      </c>
    </row>
    <row r="22" customFormat="false" ht="15" hidden="false" customHeight="true" outlineLevel="0" collapsed="false">
      <c r="A22" s="10" t="n">
        <v>13</v>
      </c>
      <c r="B22" s="11" t="s">
        <v>87</v>
      </c>
      <c r="C22" s="10" t="s">
        <v>88</v>
      </c>
      <c r="D22" s="12" t="n">
        <v>13059</v>
      </c>
      <c r="E22" s="13" t="n">
        <v>900</v>
      </c>
      <c r="F22" s="13" t="n">
        <v>900</v>
      </c>
      <c r="G22" s="14" t="n">
        <f aca="false">D22*E22</f>
        <v>11753100</v>
      </c>
      <c r="H22" s="14" t="n">
        <f aca="false">D22*F22</f>
        <v>11753100</v>
      </c>
      <c r="I22" s="15" t="s">
        <v>12</v>
      </c>
      <c r="J22" s="16" t="s">
        <v>71</v>
      </c>
    </row>
    <row r="23" customFormat="false" ht="15" hidden="false" customHeight="true" outlineLevel="0" collapsed="false">
      <c r="A23" s="10" t="n">
        <v>14</v>
      </c>
      <c r="B23" s="11" t="s">
        <v>89</v>
      </c>
      <c r="C23" s="10" t="s">
        <v>88</v>
      </c>
      <c r="D23" s="12" t="n">
        <v>1452</v>
      </c>
      <c r="E23" s="13" t="n">
        <v>900</v>
      </c>
      <c r="F23" s="13" t="n">
        <v>700</v>
      </c>
      <c r="G23" s="14" t="n">
        <f aca="false">D23*E23</f>
        <v>1306800</v>
      </c>
      <c r="H23" s="14" t="n">
        <f aca="false">D23*F23</f>
        <v>1016400</v>
      </c>
      <c r="I23" s="15" t="s">
        <v>12</v>
      </c>
      <c r="J23" s="16" t="s">
        <v>71</v>
      </c>
    </row>
    <row r="24" customFormat="false" ht="15" hidden="false" customHeight="true" outlineLevel="0" collapsed="false">
      <c r="A24" s="17"/>
      <c r="B24" s="18" t="s">
        <v>73</v>
      </c>
      <c r="C24" s="17"/>
      <c r="D24" s="17"/>
      <c r="E24" s="17"/>
      <c r="F24" s="17"/>
      <c r="G24" s="19" t="n">
        <f aca="false">SUM(G21:G23)</f>
        <v>26901900</v>
      </c>
      <c r="H24" s="19" t="n">
        <f aca="false">SUM(H21:H23)</f>
        <v>16614500</v>
      </c>
      <c r="I24" s="17"/>
      <c r="J24" s="17"/>
    </row>
    <row r="25" customFormat="false" ht="15" hidden="false" customHeight="true" outlineLevel="0" collapsed="false">
      <c r="A25" s="9" t="s">
        <v>90</v>
      </c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true" outlineLevel="0" collapsed="false">
      <c r="A26" s="10" t="n">
        <v>15</v>
      </c>
      <c r="B26" s="11" t="s">
        <v>91</v>
      </c>
      <c r="C26" s="10" t="s">
        <v>88</v>
      </c>
      <c r="D26" s="12" t="n">
        <v>382</v>
      </c>
      <c r="E26" s="13" t="n">
        <v>800</v>
      </c>
      <c r="F26" s="13" t="n">
        <v>600</v>
      </c>
      <c r="G26" s="14" t="n">
        <f aca="false">D26*E26</f>
        <v>305600</v>
      </c>
      <c r="H26" s="14" t="n">
        <f aca="false">D26*F26</f>
        <v>229200</v>
      </c>
      <c r="I26" s="15" t="s">
        <v>12</v>
      </c>
      <c r="J26" s="16" t="s">
        <v>71</v>
      </c>
    </row>
    <row r="27" customFormat="false" ht="15" hidden="false" customHeight="true" outlineLevel="0" collapsed="false">
      <c r="A27" s="10" t="n">
        <v>16</v>
      </c>
      <c r="B27" s="11" t="s">
        <v>92</v>
      </c>
      <c r="C27" s="10" t="s">
        <v>93</v>
      </c>
      <c r="D27" s="12" t="n">
        <v>1</v>
      </c>
      <c r="E27" s="13" t="n">
        <v>1000000</v>
      </c>
      <c r="F27" s="13" t="n">
        <v>500000</v>
      </c>
      <c r="G27" s="14" t="n">
        <f aca="false">D27*E27</f>
        <v>1000000</v>
      </c>
      <c r="H27" s="14" t="n">
        <f aca="false">D27*F27</f>
        <v>500000</v>
      </c>
      <c r="I27" s="15" t="s">
        <v>12</v>
      </c>
      <c r="J27" s="16" t="s">
        <v>71</v>
      </c>
    </row>
    <row r="28" customFormat="false" ht="15" hidden="false" customHeight="true" outlineLevel="0" collapsed="false">
      <c r="A28" s="10" t="n">
        <v>17</v>
      </c>
      <c r="B28" s="11" t="s">
        <v>94</v>
      </c>
      <c r="C28" s="10" t="s">
        <v>88</v>
      </c>
      <c r="D28" s="12" t="n">
        <v>735</v>
      </c>
      <c r="E28" s="13" t="n">
        <v>2000</v>
      </c>
      <c r="F28" s="13" t="n">
        <v>1500</v>
      </c>
      <c r="G28" s="14" t="n">
        <f aca="false">D28*E28</f>
        <v>1470000</v>
      </c>
      <c r="H28" s="14" t="n">
        <f aca="false">D28*F28</f>
        <v>1102500</v>
      </c>
      <c r="I28" s="15" t="s">
        <v>12</v>
      </c>
      <c r="J28" s="16" t="s">
        <v>71</v>
      </c>
    </row>
    <row r="29" customFormat="false" ht="15" hidden="false" customHeight="true" outlineLevel="0" collapsed="false">
      <c r="A29" s="10" t="n">
        <v>18</v>
      </c>
      <c r="B29" s="11" t="s">
        <v>95</v>
      </c>
      <c r="C29" s="10" t="s">
        <v>96</v>
      </c>
      <c r="D29" s="12" t="n">
        <v>184</v>
      </c>
      <c r="E29" s="13" t="n">
        <v>900</v>
      </c>
      <c r="F29" s="13" t="n">
        <v>600</v>
      </c>
      <c r="G29" s="14" t="n">
        <f aca="false">D29*E29</f>
        <v>165600</v>
      </c>
      <c r="H29" s="14" t="n">
        <f aca="false">D29*F29</f>
        <v>110400</v>
      </c>
      <c r="I29" s="15" t="s">
        <v>12</v>
      </c>
      <c r="J29" s="16" t="s">
        <v>71</v>
      </c>
    </row>
    <row r="30" customFormat="false" ht="15" hidden="false" customHeight="true" outlineLevel="0" collapsed="false">
      <c r="A30" s="17"/>
      <c r="B30" s="18" t="s">
        <v>73</v>
      </c>
      <c r="C30" s="17"/>
      <c r="D30" s="17"/>
      <c r="E30" s="17"/>
      <c r="F30" s="17"/>
      <c r="G30" s="19" t="n">
        <f aca="false">SUM(G26:G29)</f>
        <v>2941200</v>
      </c>
      <c r="H30" s="19" t="n">
        <f aca="false">SUM(H26:H29)</f>
        <v>1942100</v>
      </c>
      <c r="I30" s="17"/>
      <c r="J30" s="17"/>
    </row>
    <row r="31" customFormat="false" ht="15" hidden="false" customHeight="true" outlineLevel="0" collapsed="false">
      <c r="A31" s="9" t="s">
        <v>97</v>
      </c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A32" s="10" t="n">
        <v>19</v>
      </c>
      <c r="B32" s="11" t="s">
        <v>98</v>
      </c>
      <c r="C32" s="10" t="s">
        <v>88</v>
      </c>
      <c r="D32" s="12" t="n">
        <v>5561</v>
      </c>
      <c r="E32" s="13" t="n">
        <v>1300</v>
      </c>
      <c r="F32" s="13" t="n">
        <v>1200</v>
      </c>
      <c r="G32" s="14" t="n">
        <f aca="false">D32*E32</f>
        <v>7229300</v>
      </c>
      <c r="H32" s="14" t="n">
        <f aca="false">D32*F32</f>
        <v>6673200</v>
      </c>
      <c r="I32" s="15" t="s">
        <v>12</v>
      </c>
      <c r="J32" s="16" t="s">
        <v>71</v>
      </c>
    </row>
    <row r="33" customFormat="false" ht="15" hidden="false" customHeight="true" outlineLevel="0" collapsed="false">
      <c r="A33" s="17"/>
      <c r="B33" s="18" t="s">
        <v>73</v>
      </c>
      <c r="C33" s="17"/>
      <c r="D33" s="17"/>
      <c r="E33" s="17"/>
      <c r="F33" s="17"/>
      <c r="G33" s="19" t="n">
        <f aca="false">SUM(G32:G32)</f>
        <v>7229300</v>
      </c>
      <c r="H33" s="19" t="n">
        <f aca="false">SUM(H32:H32)</f>
        <v>6673200</v>
      </c>
      <c r="I33" s="17"/>
      <c r="J33" s="17"/>
    </row>
    <row r="34" customFormat="false" ht="15" hidden="false" customHeight="true" outlineLevel="0" collapsed="false">
      <c r="A34" s="9" t="s">
        <v>99</v>
      </c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true" outlineLevel="0" collapsed="false">
      <c r="A35" s="10" t="n">
        <v>20</v>
      </c>
      <c r="B35" s="11" t="s">
        <v>100</v>
      </c>
      <c r="C35" s="10" t="s">
        <v>88</v>
      </c>
      <c r="D35" s="12" t="n">
        <v>4596</v>
      </c>
      <c r="E35" s="13" t="n">
        <v>7000</v>
      </c>
      <c r="F35" s="13" t="n">
        <v>1500</v>
      </c>
      <c r="G35" s="14" t="n">
        <f aca="false">D35*E35</f>
        <v>32172000</v>
      </c>
      <c r="H35" s="14" t="n">
        <f aca="false">D35*F35</f>
        <v>6894000</v>
      </c>
      <c r="I35" s="15" t="s">
        <v>12</v>
      </c>
      <c r="J35" s="16" t="s">
        <v>71</v>
      </c>
    </row>
    <row r="36" customFormat="false" ht="15" hidden="false" customHeight="true" outlineLevel="0" collapsed="false">
      <c r="A36" s="10" t="n">
        <v>21</v>
      </c>
      <c r="B36" s="11" t="s">
        <v>101</v>
      </c>
      <c r="C36" s="10" t="s">
        <v>88</v>
      </c>
      <c r="D36" s="12" t="n">
        <v>125.4</v>
      </c>
      <c r="E36" s="13" t="n">
        <v>12000</v>
      </c>
      <c r="F36" s="13" t="n">
        <v>3000</v>
      </c>
      <c r="G36" s="14" t="n">
        <f aca="false">D36*E36</f>
        <v>1504800</v>
      </c>
      <c r="H36" s="14" t="n">
        <f aca="false">D36*F36</f>
        <v>376200</v>
      </c>
      <c r="I36" s="15" t="s">
        <v>12</v>
      </c>
      <c r="J36" s="16" t="s">
        <v>102</v>
      </c>
    </row>
    <row r="37" customFormat="false" ht="15" hidden="false" customHeight="true" outlineLevel="0" collapsed="false">
      <c r="A37" s="10" t="n">
        <v>22</v>
      </c>
      <c r="B37" s="11" t="s">
        <v>103</v>
      </c>
      <c r="C37" s="10" t="s">
        <v>104</v>
      </c>
      <c r="D37" s="12" t="n">
        <v>194</v>
      </c>
      <c r="E37" s="13" t="n">
        <v>22000</v>
      </c>
      <c r="F37" s="13" t="n">
        <v>2000</v>
      </c>
      <c r="G37" s="14" t="n">
        <f aca="false">D37*E37</f>
        <v>4268000</v>
      </c>
      <c r="H37" s="14" t="n">
        <f aca="false">D37*F37</f>
        <v>388000</v>
      </c>
      <c r="I37" s="15" t="s">
        <v>12</v>
      </c>
      <c r="J37" s="16" t="s">
        <v>71</v>
      </c>
    </row>
    <row r="38" customFormat="false" ht="15" hidden="false" customHeight="true" outlineLevel="0" collapsed="false">
      <c r="A38" s="10" t="n">
        <v>23</v>
      </c>
      <c r="B38" s="11" t="s">
        <v>105</v>
      </c>
      <c r="C38" s="10" t="s">
        <v>104</v>
      </c>
      <c r="D38" s="12" t="n">
        <v>108</v>
      </c>
      <c r="E38" s="13" t="n">
        <v>18000</v>
      </c>
      <c r="F38" s="13" t="n">
        <v>2000</v>
      </c>
      <c r="G38" s="14" t="n">
        <f aca="false">D38*E38</f>
        <v>1944000</v>
      </c>
      <c r="H38" s="14" t="n">
        <f aca="false">D38*F38</f>
        <v>216000</v>
      </c>
      <c r="I38" s="15" t="s">
        <v>12</v>
      </c>
      <c r="J38" s="16" t="s">
        <v>71</v>
      </c>
    </row>
    <row r="39" customFormat="false" ht="15" hidden="false" customHeight="true" outlineLevel="0" collapsed="false">
      <c r="A39" s="17"/>
      <c r="B39" s="18" t="s">
        <v>73</v>
      </c>
      <c r="C39" s="17"/>
      <c r="D39" s="17"/>
      <c r="E39" s="17"/>
      <c r="F39" s="17"/>
      <c r="G39" s="19" t="n">
        <f aca="false">SUM(G35:G38)</f>
        <v>39888800</v>
      </c>
      <c r="H39" s="19" t="n">
        <f aca="false">SUM(H35:H38)</f>
        <v>7874200</v>
      </c>
      <c r="I39" s="17"/>
      <c r="J39" s="17"/>
    </row>
    <row r="40" customFormat="false" ht="15" hidden="false" customHeight="true" outlineLevel="0" collapsed="false">
      <c r="A40" s="9" t="s">
        <v>106</v>
      </c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5" hidden="false" customHeight="true" outlineLevel="0" collapsed="false">
      <c r="A41" s="10" t="n">
        <v>24</v>
      </c>
      <c r="B41" s="11" t="s">
        <v>107</v>
      </c>
      <c r="C41" s="10" t="s">
        <v>104</v>
      </c>
      <c r="D41" s="12" t="n">
        <v>4</v>
      </c>
      <c r="E41" s="13" t="n">
        <v>3200000</v>
      </c>
      <c r="F41" s="13" t="n">
        <v>1400000</v>
      </c>
      <c r="G41" s="14" t="n">
        <f aca="false">D41*E41</f>
        <v>12800000</v>
      </c>
      <c r="H41" s="14" t="n">
        <f aca="false">D41*F41</f>
        <v>5600000</v>
      </c>
      <c r="I41" s="15" t="s">
        <v>12</v>
      </c>
      <c r="J41" s="16" t="s">
        <v>108</v>
      </c>
    </row>
    <row r="42" customFormat="false" ht="15" hidden="false" customHeight="true" outlineLevel="0" collapsed="false">
      <c r="A42" s="17"/>
      <c r="B42" s="18" t="s">
        <v>73</v>
      </c>
      <c r="C42" s="17"/>
      <c r="D42" s="17"/>
      <c r="E42" s="17"/>
      <c r="F42" s="17"/>
      <c r="G42" s="19" t="n">
        <f aca="false">SUM(G41:G41)</f>
        <v>12800000</v>
      </c>
      <c r="H42" s="19" t="n">
        <f aca="false">SUM(H41:H41)</f>
        <v>5600000</v>
      </c>
      <c r="I42" s="17"/>
      <c r="J42" s="17"/>
    </row>
    <row r="43" customFormat="false" ht="15" hidden="false" customHeight="true" outlineLevel="0" collapsed="false">
      <c r="A43" s="9" t="s">
        <v>109</v>
      </c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true" outlineLevel="0" collapsed="false">
      <c r="A44" s="10" t="n">
        <v>25</v>
      </c>
      <c r="B44" s="11" t="s">
        <v>110</v>
      </c>
      <c r="C44" s="10" t="s">
        <v>96</v>
      </c>
      <c r="D44" s="12" t="n">
        <v>969</v>
      </c>
      <c r="E44" s="13" t="n">
        <v>2500</v>
      </c>
      <c r="F44" s="13" t="n">
        <v>1200</v>
      </c>
      <c r="G44" s="14" t="n">
        <f aca="false">D44*E44</f>
        <v>2422500</v>
      </c>
      <c r="H44" s="14" t="n">
        <f aca="false">D44*F44</f>
        <v>1162800</v>
      </c>
      <c r="I44" s="15" t="s">
        <v>12</v>
      </c>
      <c r="J44" s="16" t="s">
        <v>71</v>
      </c>
    </row>
    <row r="45" customFormat="false" ht="15" hidden="false" customHeight="true" outlineLevel="0" collapsed="false">
      <c r="A45" s="10" t="n">
        <v>26</v>
      </c>
      <c r="B45" s="11" t="s">
        <v>111</v>
      </c>
      <c r="C45" s="10" t="s">
        <v>104</v>
      </c>
      <c r="D45" s="12" t="n">
        <v>52</v>
      </c>
      <c r="E45" s="13" t="n">
        <v>4000</v>
      </c>
      <c r="F45" s="13" t="n">
        <v>1000</v>
      </c>
      <c r="G45" s="14" t="n">
        <f aca="false">D45*E45</f>
        <v>208000</v>
      </c>
      <c r="H45" s="14" t="n">
        <f aca="false">D45*F45</f>
        <v>52000</v>
      </c>
      <c r="I45" s="15" t="s">
        <v>12</v>
      </c>
      <c r="J45" s="16" t="s">
        <v>71</v>
      </c>
    </row>
    <row r="46" customFormat="false" ht="15" hidden="false" customHeight="true" outlineLevel="0" collapsed="false">
      <c r="A46" s="17"/>
      <c r="B46" s="18" t="s">
        <v>73</v>
      </c>
      <c r="C46" s="17"/>
      <c r="D46" s="17"/>
      <c r="E46" s="17"/>
      <c r="F46" s="17"/>
      <c r="G46" s="19" t="n">
        <f aca="false">SUM(G44:G45)</f>
        <v>2630500</v>
      </c>
      <c r="H46" s="19" t="n">
        <f aca="false">SUM(H44:H45)</f>
        <v>1214800</v>
      </c>
      <c r="I46" s="17"/>
      <c r="J46" s="17"/>
    </row>
    <row r="47" customFormat="false" ht="15" hidden="false" customHeight="true" outlineLevel="0" collapsed="false">
      <c r="A47" s="9" t="s">
        <v>112</v>
      </c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true" outlineLevel="0" collapsed="false">
      <c r="A48" s="10" t="n">
        <v>27</v>
      </c>
      <c r="B48" s="11" t="s">
        <v>113</v>
      </c>
      <c r="C48" s="10" t="s">
        <v>88</v>
      </c>
      <c r="D48" s="12" t="n">
        <v>12346.5</v>
      </c>
      <c r="E48" s="13" t="n">
        <v>2200</v>
      </c>
      <c r="F48" s="13" t="n">
        <v>3000</v>
      </c>
      <c r="G48" s="14" t="n">
        <f aca="false">D48*E48</f>
        <v>27162300</v>
      </c>
      <c r="H48" s="14" t="n">
        <f aca="false">D48*F48</f>
        <v>37039500</v>
      </c>
      <c r="I48" s="15" t="s">
        <v>12</v>
      </c>
      <c r="J48" s="16" t="s">
        <v>71</v>
      </c>
    </row>
    <row r="49" customFormat="false" ht="15" hidden="false" customHeight="true" outlineLevel="0" collapsed="false">
      <c r="A49" s="10" t="n">
        <v>28</v>
      </c>
      <c r="B49" s="11" t="s">
        <v>114</v>
      </c>
      <c r="C49" s="10" t="s">
        <v>88</v>
      </c>
      <c r="D49" s="12" t="n">
        <v>2900</v>
      </c>
      <c r="E49" s="13" t="n">
        <v>2800</v>
      </c>
      <c r="F49" s="13" t="n">
        <v>3700</v>
      </c>
      <c r="G49" s="14" t="n">
        <f aca="false">D49*E49</f>
        <v>8120000</v>
      </c>
      <c r="H49" s="14" t="n">
        <f aca="false">D49*F49</f>
        <v>10730000</v>
      </c>
      <c r="I49" s="15" t="s">
        <v>12</v>
      </c>
      <c r="J49" s="16" t="s">
        <v>71</v>
      </c>
    </row>
    <row r="50" customFormat="false" ht="15" hidden="false" customHeight="true" outlineLevel="0" collapsed="false">
      <c r="A50" s="17"/>
      <c r="B50" s="18" t="s">
        <v>73</v>
      </c>
      <c r="C50" s="17"/>
      <c r="D50" s="17"/>
      <c r="E50" s="17"/>
      <c r="F50" s="17"/>
      <c r="G50" s="19" t="n">
        <f aca="false">SUM(G48:G49)</f>
        <v>35282300</v>
      </c>
      <c r="H50" s="19" t="n">
        <f aca="false">SUM(H48:H49)</f>
        <v>47769500</v>
      </c>
      <c r="I50" s="17"/>
      <c r="J50" s="17"/>
    </row>
    <row r="51" customFormat="false" ht="15" hidden="false" customHeight="true" outlineLevel="0" collapsed="false">
      <c r="A51" s="9" t="s">
        <v>115</v>
      </c>
      <c r="B51" s="9"/>
      <c r="C51" s="9"/>
      <c r="D51" s="9"/>
      <c r="E51" s="9"/>
      <c r="F51" s="9"/>
      <c r="G51" s="9"/>
      <c r="H51" s="9"/>
      <c r="I51" s="9"/>
      <c r="J51" s="9"/>
    </row>
    <row r="52" customFormat="false" ht="15" hidden="false" customHeight="true" outlineLevel="0" collapsed="false">
      <c r="A52" s="10" t="n">
        <v>29</v>
      </c>
      <c r="B52" s="11" t="s">
        <v>116</v>
      </c>
      <c r="C52" s="10" t="s">
        <v>88</v>
      </c>
      <c r="D52" s="12" t="n">
        <v>12153</v>
      </c>
      <c r="E52" s="13" t="n">
        <v>1400</v>
      </c>
      <c r="F52" s="13" t="n">
        <v>1000</v>
      </c>
      <c r="G52" s="14" t="n">
        <f aca="false">D52*E52</f>
        <v>17014200</v>
      </c>
      <c r="H52" s="14" t="n">
        <f aca="false">D52*F52</f>
        <v>12153000</v>
      </c>
      <c r="I52" s="15" t="s">
        <v>12</v>
      </c>
      <c r="J52" s="16" t="s">
        <v>71</v>
      </c>
    </row>
    <row r="53" customFormat="false" ht="15" hidden="false" customHeight="true" outlineLevel="0" collapsed="false">
      <c r="A53" s="10" t="n">
        <v>30</v>
      </c>
      <c r="B53" s="11" t="s">
        <v>117</v>
      </c>
      <c r="C53" s="10" t="s">
        <v>88</v>
      </c>
      <c r="D53" s="12" t="n">
        <v>12153</v>
      </c>
      <c r="E53" s="13" t="n">
        <v>1000</v>
      </c>
      <c r="F53" s="13" t="n">
        <v>800</v>
      </c>
      <c r="G53" s="14" t="n">
        <f aca="false">D53*E53</f>
        <v>12153000</v>
      </c>
      <c r="H53" s="14" t="n">
        <f aca="false">D53*F53</f>
        <v>9722400</v>
      </c>
      <c r="I53" s="15" t="s">
        <v>12</v>
      </c>
      <c r="J53" s="16" t="s">
        <v>71</v>
      </c>
    </row>
    <row r="54" customFormat="false" ht="15" hidden="false" customHeight="true" outlineLevel="0" collapsed="false">
      <c r="A54" s="10" t="n">
        <v>31</v>
      </c>
      <c r="B54" s="11" t="s">
        <v>118</v>
      </c>
      <c r="C54" s="10" t="s">
        <v>88</v>
      </c>
      <c r="D54" s="12" t="n">
        <v>12153</v>
      </c>
      <c r="E54" s="13" t="n">
        <v>1500</v>
      </c>
      <c r="F54" s="13" t="n">
        <v>900</v>
      </c>
      <c r="G54" s="14" t="n">
        <f aca="false">D54*E54</f>
        <v>18229500</v>
      </c>
      <c r="H54" s="14" t="n">
        <f aca="false">D54*F54</f>
        <v>10937700</v>
      </c>
      <c r="I54" s="15" t="s">
        <v>12</v>
      </c>
      <c r="J54" s="16" t="s">
        <v>119</v>
      </c>
    </row>
    <row r="55" customFormat="false" ht="21.75" hidden="false" customHeight="true" outlineLevel="0" collapsed="false">
      <c r="A55" s="10" t="n">
        <v>32</v>
      </c>
      <c r="B55" s="11" t="s">
        <v>120</v>
      </c>
      <c r="C55" s="10" t="s">
        <v>88</v>
      </c>
      <c r="D55" s="12" t="n">
        <v>12153</v>
      </c>
      <c r="E55" s="13" t="n">
        <v>2000</v>
      </c>
      <c r="F55" s="13" t="n">
        <v>1500</v>
      </c>
      <c r="G55" s="14" t="n">
        <f aca="false">D55*E55</f>
        <v>24306000</v>
      </c>
      <c r="H55" s="14" t="n">
        <f aca="false">D55*F55</f>
        <v>18229500</v>
      </c>
      <c r="I55" s="15" t="s">
        <v>12</v>
      </c>
      <c r="J55" s="16" t="s">
        <v>121</v>
      </c>
    </row>
    <row r="56" customFormat="false" ht="15" hidden="false" customHeight="true" outlineLevel="0" collapsed="false">
      <c r="A56" s="10" t="n">
        <v>33</v>
      </c>
      <c r="B56" s="11" t="s">
        <v>122</v>
      </c>
      <c r="C56" s="10" t="s">
        <v>88</v>
      </c>
      <c r="D56" s="12" t="n">
        <v>12153</v>
      </c>
      <c r="E56" s="13" t="n">
        <v>900</v>
      </c>
      <c r="F56" s="13" t="n">
        <v>600</v>
      </c>
      <c r="G56" s="14" t="n">
        <f aca="false">D56*E56</f>
        <v>10937700</v>
      </c>
      <c r="H56" s="14" t="n">
        <f aca="false">D56*F56</f>
        <v>7291800</v>
      </c>
      <c r="I56" s="15" t="s">
        <v>12</v>
      </c>
      <c r="J56" s="16" t="s">
        <v>71</v>
      </c>
    </row>
    <row r="57" customFormat="false" ht="15" hidden="false" customHeight="true" outlineLevel="0" collapsed="false">
      <c r="A57" s="10" t="n">
        <v>34</v>
      </c>
      <c r="B57" s="11" t="s">
        <v>123</v>
      </c>
      <c r="C57" s="10" t="s">
        <v>88</v>
      </c>
      <c r="D57" s="12" t="n">
        <v>12153</v>
      </c>
      <c r="E57" s="13" t="n">
        <v>900</v>
      </c>
      <c r="F57" s="13" t="n">
        <v>600</v>
      </c>
      <c r="G57" s="14" t="n">
        <f aca="false">D57*E57</f>
        <v>10937700</v>
      </c>
      <c r="H57" s="14" t="n">
        <f aca="false">D57*F57</f>
        <v>7291800</v>
      </c>
      <c r="I57" s="15" t="s">
        <v>12</v>
      </c>
      <c r="J57" s="16" t="s">
        <v>71</v>
      </c>
    </row>
    <row r="58" customFormat="false" ht="15" hidden="false" customHeight="true" outlineLevel="0" collapsed="false">
      <c r="A58" s="10" t="n">
        <v>35</v>
      </c>
      <c r="B58" s="11" t="s">
        <v>124</v>
      </c>
      <c r="C58" s="10" t="s">
        <v>88</v>
      </c>
      <c r="D58" s="12" t="n">
        <v>12153</v>
      </c>
      <c r="E58" s="13" t="n">
        <v>450</v>
      </c>
      <c r="F58" s="13" t="n">
        <v>250</v>
      </c>
      <c r="G58" s="14" t="n">
        <f aca="false">D58*E58</f>
        <v>5468850</v>
      </c>
      <c r="H58" s="14" t="n">
        <f aca="false">D58*F58</f>
        <v>3038250</v>
      </c>
      <c r="I58" s="15" t="s">
        <v>12</v>
      </c>
      <c r="J58" s="16" t="s">
        <v>125</v>
      </c>
    </row>
    <row r="59" customFormat="false" ht="15" hidden="false" customHeight="true" outlineLevel="0" collapsed="false">
      <c r="A59" s="10" t="n">
        <v>36</v>
      </c>
      <c r="B59" s="11" t="s">
        <v>126</v>
      </c>
      <c r="C59" s="10" t="s">
        <v>93</v>
      </c>
      <c r="D59" s="12" t="n">
        <v>1</v>
      </c>
      <c r="E59" s="13" t="n">
        <v>1500000</v>
      </c>
      <c r="F59" s="13" t="n">
        <v>1000000</v>
      </c>
      <c r="G59" s="14" t="n">
        <f aca="false">D59*E59</f>
        <v>1500000</v>
      </c>
      <c r="H59" s="14" t="n">
        <f aca="false">D59*F59</f>
        <v>1000000</v>
      </c>
      <c r="I59" s="15" t="s">
        <v>12</v>
      </c>
      <c r="J59" s="16" t="s">
        <v>71</v>
      </c>
    </row>
    <row r="60" customFormat="false" ht="15" hidden="false" customHeight="true" outlineLevel="0" collapsed="false">
      <c r="A60" s="10" t="n">
        <v>37</v>
      </c>
      <c r="B60" s="11" t="s">
        <v>127</v>
      </c>
      <c r="C60" s="10" t="s">
        <v>93</v>
      </c>
      <c r="D60" s="12" t="n">
        <v>1</v>
      </c>
      <c r="E60" s="13" t="n">
        <v>4000000</v>
      </c>
      <c r="F60" s="13" t="n">
        <v>1500000</v>
      </c>
      <c r="G60" s="14" t="n">
        <f aca="false">D60*E60</f>
        <v>4000000</v>
      </c>
      <c r="H60" s="14" t="n">
        <f aca="false">D60*F60</f>
        <v>1500000</v>
      </c>
      <c r="I60" s="15" t="s">
        <v>12</v>
      </c>
      <c r="J60" s="16" t="s">
        <v>128</v>
      </c>
    </row>
    <row r="61" customFormat="false" ht="15" hidden="false" customHeight="true" outlineLevel="0" collapsed="false">
      <c r="A61" s="10" t="n">
        <v>38</v>
      </c>
      <c r="B61" s="11" t="s">
        <v>129</v>
      </c>
      <c r="C61" s="10" t="s">
        <v>93</v>
      </c>
      <c r="D61" s="12" t="n">
        <v>1</v>
      </c>
      <c r="E61" s="13" t="n">
        <v>600000</v>
      </c>
      <c r="F61" s="13" t="n">
        <v>300000</v>
      </c>
      <c r="G61" s="14" t="n">
        <f aca="false">D61*E61</f>
        <v>600000</v>
      </c>
      <c r="H61" s="14" t="n">
        <f aca="false">D61*F61</f>
        <v>300000</v>
      </c>
      <c r="I61" s="15" t="s">
        <v>12</v>
      </c>
      <c r="J61" s="16" t="s">
        <v>130</v>
      </c>
    </row>
    <row r="62" customFormat="false" ht="15" hidden="false" customHeight="true" outlineLevel="0" collapsed="false">
      <c r="A62" s="17"/>
      <c r="B62" s="18" t="s">
        <v>73</v>
      </c>
      <c r="C62" s="17"/>
      <c r="D62" s="17"/>
      <c r="E62" s="17"/>
      <c r="F62" s="17"/>
      <c r="G62" s="19" t="n">
        <f aca="false">SUM(G52:G61)</f>
        <v>105146950</v>
      </c>
      <c r="H62" s="19" t="n">
        <f aca="false">SUM(H52:H61)</f>
        <v>71464450</v>
      </c>
      <c r="I62" s="17"/>
      <c r="J62" s="17"/>
    </row>
    <row r="63" customFormat="false" ht="15" hidden="false" customHeight="true" outlineLevel="0" collapsed="false">
      <c r="A63" s="9" t="s">
        <v>131</v>
      </c>
      <c r="B63" s="9"/>
      <c r="C63" s="9"/>
      <c r="D63" s="9"/>
      <c r="E63" s="9"/>
      <c r="F63" s="9"/>
      <c r="G63" s="9"/>
      <c r="H63" s="9"/>
      <c r="I63" s="9"/>
      <c r="J63" s="9"/>
    </row>
    <row r="64" customFormat="false" ht="21.75" hidden="false" customHeight="true" outlineLevel="0" collapsed="false">
      <c r="A64" s="10" t="n">
        <v>39</v>
      </c>
      <c r="B64" s="11" t="s">
        <v>132</v>
      </c>
      <c r="C64" s="10" t="s">
        <v>93</v>
      </c>
      <c r="D64" s="12" t="n">
        <v>1</v>
      </c>
      <c r="E64" s="13" t="n">
        <v>0</v>
      </c>
      <c r="F64" s="13" t="n">
        <v>12000000</v>
      </c>
      <c r="G64" s="14" t="n">
        <f aca="false">D64*E64</f>
        <v>0</v>
      </c>
      <c r="H64" s="14" t="n">
        <f aca="false">D64*F64</f>
        <v>12000000</v>
      </c>
      <c r="I64" s="15" t="s">
        <v>12</v>
      </c>
      <c r="J64" s="16" t="s">
        <v>71</v>
      </c>
    </row>
    <row r="65" customFormat="false" ht="21.75" hidden="false" customHeight="true" outlineLevel="0" collapsed="false">
      <c r="A65" s="10" t="n">
        <v>40</v>
      </c>
      <c r="B65" s="11" t="s">
        <v>133</v>
      </c>
      <c r="C65" s="10" t="s">
        <v>93</v>
      </c>
      <c r="D65" s="12" t="n">
        <v>1</v>
      </c>
      <c r="E65" s="13" t="n">
        <v>1000000</v>
      </c>
      <c r="F65" s="13" t="n">
        <v>1000000</v>
      </c>
      <c r="G65" s="14" t="n">
        <f aca="false">D65*E65</f>
        <v>1000000</v>
      </c>
      <c r="H65" s="14" t="n">
        <f aca="false">D65*F65</f>
        <v>1000000</v>
      </c>
      <c r="I65" s="15" t="s">
        <v>12</v>
      </c>
      <c r="J65" s="16" t="s">
        <v>71</v>
      </c>
    </row>
    <row r="66" customFormat="false" ht="15" hidden="false" customHeight="true" outlineLevel="0" collapsed="false">
      <c r="A66" s="17"/>
      <c r="B66" s="18" t="s">
        <v>73</v>
      </c>
      <c r="C66" s="17"/>
      <c r="D66" s="17"/>
      <c r="E66" s="17"/>
      <c r="F66" s="17"/>
      <c r="G66" s="19" t="n">
        <f aca="false">SUM(G64:G65)</f>
        <v>1000000</v>
      </c>
      <c r="H66" s="19" t="n">
        <f aca="false">SUM(H64:H65)</f>
        <v>13000000</v>
      </c>
      <c r="I66" s="17"/>
      <c r="J66" s="17"/>
    </row>
    <row r="68" customFormat="false" ht="15" hidden="false" customHeight="true" outlineLevel="0" collapsed="false">
      <c r="B68" s="20" t="s">
        <v>134</v>
      </c>
      <c r="C68" s="21"/>
      <c r="D68" s="21"/>
      <c r="E68" s="21"/>
      <c r="F68" s="22" t="s">
        <v>135</v>
      </c>
      <c r="G68" s="23" t="n">
        <f aca="false">G9+G19+G24+G30+G33+G39+G42+G46+G50+G62+G66</f>
        <v>323398937</v>
      </c>
      <c r="H68" s="23" t="n">
        <f aca="false">H9+H19+H24+H30+H33+H39+H42+H46+H50+H62+H66</f>
        <v>248076460</v>
      </c>
      <c r="I68" s="24" t="n">
        <f aca="false">G68+H68</f>
        <v>571475397</v>
      </c>
    </row>
  </sheetData>
  <mergeCells count="13">
    <mergeCell ref="A1:J1"/>
    <mergeCell ref="A2:J2"/>
    <mergeCell ref="A5:J5"/>
    <mergeCell ref="A10:J10"/>
    <mergeCell ref="A20:J20"/>
    <mergeCell ref="A25:J25"/>
    <mergeCell ref="A31:J31"/>
    <mergeCell ref="A34:J34"/>
    <mergeCell ref="A40:J40"/>
    <mergeCell ref="A43:J43"/>
    <mergeCell ref="A47:J47"/>
    <mergeCell ref="A51:J51"/>
    <mergeCell ref="A63:J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34"/>
  </cols>
  <sheetData>
    <row r="1" customFormat="false" ht="17.25" hidden="false" customHeight="true" outlineLevel="0" collapsed="false">
      <c r="A1" s="2" t="s">
        <v>136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137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8" t="s">
        <v>138</v>
      </c>
      <c r="B4" s="8" t="s">
        <v>139</v>
      </c>
      <c r="C4" s="8" t="s">
        <v>58</v>
      </c>
      <c r="D4" s="8" t="s">
        <v>140</v>
      </c>
      <c r="E4" s="8"/>
      <c r="F4" s="8"/>
    </row>
    <row r="5" customFormat="false" ht="15" hidden="false" customHeight="true" outlineLevel="0" collapsed="false">
      <c r="A5" s="25" t="s">
        <v>141</v>
      </c>
      <c r="B5" s="26" t="n">
        <v>12153</v>
      </c>
      <c r="C5" s="27" t="s">
        <v>88</v>
      </c>
      <c r="D5" s="28" t="s">
        <v>142</v>
      </c>
    </row>
    <row r="6" customFormat="false" ht="15" hidden="false" customHeight="true" outlineLevel="0" collapsed="false">
      <c r="A6" s="25" t="s">
        <v>143</v>
      </c>
      <c r="B6" s="29" t="n">
        <v>0.28</v>
      </c>
      <c r="C6" s="27" t="s">
        <v>144</v>
      </c>
      <c r="D6" s="28" t="s">
        <v>145</v>
      </c>
    </row>
    <row r="7" customFormat="false" ht="15" hidden="false" customHeight="true" outlineLevel="0" collapsed="false">
      <c r="A7" s="25" t="s">
        <v>146</v>
      </c>
      <c r="B7" s="29" t="n">
        <v>0.17</v>
      </c>
      <c r="C7" s="27" t="s">
        <v>144</v>
      </c>
      <c r="D7" s="28" t="s">
        <v>147</v>
      </c>
    </row>
    <row r="9" customFormat="false" ht="15" hidden="false" customHeight="true" outlineLevel="0" collapsed="false">
      <c r="A9" s="30" t="s">
        <v>148</v>
      </c>
      <c r="B9" s="31" t="n">
        <f aca="false">01_Прайс_работ!G68</f>
        <v>323398937</v>
      </c>
      <c r="C9" s="32"/>
      <c r="D9" s="32"/>
    </row>
    <row r="10" customFormat="false" ht="15" hidden="false" customHeight="true" outlineLevel="0" collapsed="false">
      <c r="A10" s="30" t="s">
        <v>149</v>
      </c>
      <c r="B10" s="31" t="n">
        <f aca="false">01_Прайс_работ!H68</f>
        <v>248076460</v>
      </c>
      <c r="C10" s="32"/>
      <c r="D10" s="32"/>
    </row>
    <row r="11" customFormat="false" ht="15" hidden="false" customHeight="true" outlineLevel="0" collapsed="false">
      <c r="A11" s="33" t="s">
        <v>150</v>
      </c>
      <c r="B11" s="34" t="n">
        <f aca="false">B9+B10</f>
        <v>571475397</v>
      </c>
      <c r="C11" s="32"/>
      <c r="D11" s="32"/>
    </row>
    <row r="12" customFormat="false" ht="15" hidden="false" customHeight="true" outlineLevel="0" collapsed="false">
      <c r="A12" s="30" t="s">
        <v>151</v>
      </c>
      <c r="B12" s="35" t="n">
        <f aca="false">B11*B6</f>
        <v>160013111.16</v>
      </c>
      <c r="C12" s="32"/>
      <c r="D12" s="32"/>
    </row>
    <row r="13" customFormat="false" ht="15" hidden="false" customHeight="true" outlineLevel="0" collapsed="false">
      <c r="A13" s="30" t="s">
        <v>152</v>
      </c>
      <c r="B13" s="35" t="n">
        <f aca="false">B11*B7</f>
        <v>97150817.49</v>
      </c>
      <c r="C13" s="32"/>
      <c r="D13" s="32"/>
    </row>
    <row r="14" customFormat="false" ht="15" hidden="false" customHeight="true" outlineLevel="0" collapsed="false">
      <c r="A14" s="36" t="s">
        <v>153</v>
      </c>
      <c r="B14" s="37" t="n">
        <f aca="false">B11+B12+B13</f>
        <v>828639325.65</v>
      </c>
      <c r="C14" s="38"/>
      <c r="D14" s="38"/>
    </row>
    <row r="15" customFormat="false" ht="15" hidden="false" customHeight="true" outlineLevel="0" collapsed="false">
      <c r="A15" s="36" t="s">
        <v>154</v>
      </c>
      <c r="B15" s="37" t="n">
        <f aca="false">B14/B5</f>
        <v>68183.9320044434</v>
      </c>
      <c r="C15" s="38"/>
      <c r="D15" s="38"/>
    </row>
    <row r="17" customFormat="false" ht="15" hidden="false" customHeight="true" outlineLevel="0" collapsed="false">
      <c r="A17" s="7" t="s">
        <v>155</v>
      </c>
    </row>
    <row r="18" customFormat="false" ht="30" hidden="false" customHeight="true" outlineLevel="0" collapsed="false">
      <c r="A18" s="8" t="s">
        <v>156</v>
      </c>
      <c r="B18" s="8" t="s">
        <v>157</v>
      </c>
      <c r="C18" s="8" t="s">
        <v>158</v>
      </c>
      <c r="D18" s="8" t="s">
        <v>159</v>
      </c>
      <c r="E18" s="8"/>
      <c r="F18" s="8"/>
    </row>
    <row r="19" customFormat="false" ht="15" hidden="false" customHeight="true" outlineLevel="0" collapsed="false">
      <c r="A19" s="10" t="s">
        <v>160</v>
      </c>
      <c r="B19" s="39" t="n">
        <f aca="false">B15</f>
        <v>68183.9320044434</v>
      </c>
      <c r="C19" s="10" t="s">
        <v>161</v>
      </c>
      <c r="D19" s="40" t="s">
        <v>162</v>
      </c>
    </row>
    <row r="20" customFormat="false" ht="15" hidden="false" customHeight="true" outlineLevel="0" collapsed="false">
      <c r="A20" s="41" t="s">
        <v>163</v>
      </c>
      <c r="B20" s="42"/>
      <c r="C20" s="41"/>
      <c r="D20" s="43" t="s">
        <v>164</v>
      </c>
    </row>
    <row r="21" customFormat="false" ht="15" hidden="false" customHeight="true" outlineLevel="0" collapsed="false">
      <c r="A21" s="41" t="s">
        <v>165</v>
      </c>
      <c r="B21" s="42"/>
      <c r="C21" s="41"/>
      <c r="D21" s="43" t="s">
        <v>164</v>
      </c>
    </row>
    <row r="22" customFormat="false" ht="15" hidden="false" customHeight="true" outlineLevel="0" collapsed="false">
      <c r="A22" s="41" t="s">
        <v>166</v>
      </c>
      <c r="B22" s="42"/>
      <c r="C22" s="41"/>
      <c r="D22" s="43" t="s">
        <v>167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168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169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8" t="s">
        <v>170</v>
      </c>
      <c r="B4" s="8" t="s">
        <v>58</v>
      </c>
      <c r="C4" s="8" t="s">
        <v>171</v>
      </c>
      <c r="D4" s="8" t="s">
        <v>172</v>
      </c>
      <c r="E4" s="8" t="s">
        <v>173</v>
      </c>
      <c r="F4" s="8" t="s">
        <v>64</v>
      </c>
      <c r="G4" s="8" t="s">
        <v>159</v>
      </c>
      <c r="H4" s="8" t="s">
        <v>174</v>
      </c>
    </row>
    <row r="5" customFormat="false" ht="15" hidden="false" customHeight="true" outlineLevel="0" collapsed="false">
      <c r="A5" s="11" t="s">
        <v>175</v>
      </c>
      <c r="B5" s="10" t="s">
        <v>68</v>
      </c>
      <c r="C5" s="13" t="n">
        <v>5100</v>
      </c>
      <c r="D5" s="10" t="s">
        <v>176</v>
      </c>
      <c r="E5" s="44" t="s">
        <v>177</v>
      </c>
      <c r="F5" s="15" t="s">
        <v>12</v>
      </c>
      <c r="G5" s="40" t="s">
        <v>71</v>
      </c>
      <c r="H5" s="16" t="s">
        <v>178</v>
      </c>
    </row>
    <row r="6" customFormat="false" ht="15" hidden="false" customHeight="true" outlineLevel="0" collapsed="false">
      <c r="A6" s="11" t="s">
        <v>179</v>
      </c>
      <c r="B6" s="10" t="s">
        <v>68</v>
      </c>
      <c r="C6" s="13" t="n">
        <v>4000</v>
      </c>
      <c r="D6" s="10" t="s">
        <v>180</v>
      </c>
      <c r="E6" s="44" t="s">
        <v>181</v>
      </c>
      <c r="F6" s="15" t="s">
        <v>12</v>
      </c>
      <c r="G6" s="40" t="s">
        <v>71</v>
      </c>
      <c r="H6" s="16"/>
    </row>
    <row r="7" customFormat="false" ht="15" hidden="false" customHeight="true" outlineLevel="0" collapsed="false">
      <c r="A7" s="11" t="s">
        <v>182</v>
      </c>
      <c r="B7" s="10" t="s">
        <v>83</v>
      </c>
      <c r="C7" s="13" t="n">
        <v>58000</v>
      </c>
      <c r="D7" s="10" t="s">
        <v>183</v>
      </c>
      <c r="E7" s="45" t="s">
        <v>184</v>
      </c>
      <c r="F7" s="15" t="s">
        <v>12</v>
      </c>
      <c r="G7" s="40" t="s">
        <v>185</v>
      </c>
      <c r="H7" s="16" t="s">
        <v>186</v>
      </c>
    </row>
    <row r="8" customFormat="false" ht="15" hidden="false" customHeight="true" outlineLevel="0" collapsed="false">
      <c r="A8" s="11" t="s">
        <v>187</v>
      </c>
      <c r="B8" s="10" t="s">
        <v>68</v>
      </c>
      <c r="C8" s="13" t="n">
        <v>9000</v>
      </c>
      <c r="D8" s="10" t="s">
        <v>188</v>
      </c>
      <c r="E8" s="44" t="s">
        <v>177</v>
      </c>
      <c r="F8" s="15" t="s">
        <v>12</v>
      </c>
      <c r="G8" s="40" t="s">
        <v>71</v>
      </c>
      <c r="H8" s="16"/>
    </row>
    <row r="9" customFormat="false" ht="15" hidden="false" customHeight="true" outlineLevel="0" collapsed="false">
      <c r="A9" s="11" t="s">
        <v>100</v>
      </c>
      <c r="B9" s="10" t="s">
        <v>88</v>
      </c>
      <c r="C9" s="13" t="n">
        <v>7000</v>
      </c>
      <c r="D9" s="10" t="s">
        <v>189</v>
      </c>
      <c r="E9" s="44" t="s">
        <v>177</v>
      </c>
      <c r="F9" s="15" t="s">
        <v>12</v>
      </c>
      <c r="G9" s="40" t="s">
        <v>71</v>
      </c>
      <c r="H9" s="16"/>
    </row>
    <row r="10" customFormat="false" ht="15" hidden="false" customHeight="true" outlineLevel="0" collapsed="false">
      <c r="A10" s="11" t="s">
        <v>190</v>
      </c>
      <c r="B10" s="10" t="s">
        <v>88</v>
      </c>
      <c r="C10" s="13" t="n">
        <v>12000</v>
      </c>
      <c r="D10" s="10" t="s">
        <v>191</v>
      </c>
      <c r="E10" s="44" t="s">
        <v>177</v>
      </c>
      <c r="F10" s="15" t="s">
        <v>12</v>
      </c>
      <c r="G10" s="40" t="s">
        <v>71</v>
      </c>
      <c r="H10" s="16" t="s">
        <v>192</v>
      </c>
    </row>
    <row r="11" customFormat="false" ht="15" hidden="false" customHeight="true" outlineLevel="0" collapsed="false">
      <c r="A11" s="11" t="s">
        <v>193</v>
      </c>
      <c r="B11" s="10" t="s">
        <v>104</v>
      </c>
      <c r="C11" s="13" t="n">
        <v>22000</v>
      </c>
      <c r="D11" s="10" t="s">
        <v>194</v>
      </c>
      <c r="E11" s="44" t="s">
        <v>181</v>
      </c>
      <c r="F11" s="15" t="s">
        <v>12</v>
      </c>
      <c r="G11" s="40" t="s">
        <v>71</v>
      </c>
      <c r="H11" s="16"/>
    </row>
    <row r="12" customFormat="false" ht="15" hidden="false" customHeight="true" outlineLevel="0" collapsed="false">
      <c r="A12" s="11" t="s">
        <v>195</v>
      </c>
      <c r="B12" s="10" t="s">
        <v>104</v>
      </c>
      <c r="C12" s="13" t="n">
        <v>18000</v>
      </c>
      <c r="D12" s="10" t="s">
        <v>196</v>
      </c>
      <c r="E12" s="44" t="s">
        <v>181</v>
      </c>
      <c r="F12" s="15" t="s">
        <v>12</v>
      </c>
      <c r="G12" s="40" t="s">
        <v>71</v>
      </c>
      <c r="H12" s="16"/>
    </row>
    <row r="13" customFormat="false" ht="15" hidden="false" customHeight="true" outlineLevel="0" collapsed="false">
      <c r="A13" s="11" t="s">
        <v>197</v>
      </c>
      <c r="B13" s="10" t="s">
        <v>198</v>
      </c>
      <c r="C13" s="45" t="s">
        <v>199</v>
      </c>
      <c r="D13" s="10" t="s">
        <v>200</v>
      </c>
      <c r="E13" s="45" t="s">
        <v>201</v>
      </c>
      <c r="F13" s="46" t="s">
        <v>14</v>
      </c>
      <c r="G13" s="40" t="s">
        <v>71</v>
      </c>
      <c r="H13" s="16" t="s">
        <v>202</v>
      </c>
    </row>
    <row r="14" customFormat="false" ht="15" hidden="false" customHeight="true" outlineLevel="0" collapsed="false">
      <c r="A14" s="11" t="s">
        <v>203</v>
      </c>
      <c r="B14" s="10" t="s">
        <v>204</v>
      </c>
      <c r="C14" s="45" t="s">
        <v>199</v>
      </c>
      <c r="D14" s="10" t="s">
        <v>205</v>
      </c>
      <c r="E14" s="44" t="s">
        <v>177</v>
      </c>
      <c r="F14" s="46" t="s">
        <v>14</v>
      </c>
      <c r="G14" s="40" t="s">
        <v>71</v>
      </c>
      <c r="H14" s="16" t="s">
        <v>206</v>
      </c>
    </row>
    <row r="15" customFormat="false" ht="15" hidden="false" customHeight="true" outlineLevel="0" collapsed="false">
      <c r="A15" s="11" t="s">
        <v>207</v>
      </c>
      <c r="B15" s="10" t="s">
        <v>88</v>
      </c>
      <c r="C15" s="13" t="n">
        <v>1300</v>
      </c>
      <c r="D15" s="10" t="s">
        <v>208</v>
      </c>
      <c r="E15" s="44" t="s">
        <v>177</v>
      </c>
      <c r="F15" s="15" t="s">
        <v>12</v>
      </c>
      <c r="G15" s="40" t="s">
        <v>71</v>
      </c>
      <c r="H15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34"/>
  </cols>
  <sheetData>
    <row r="1" customFormat="false" ht="17.25" hidden="false" customHeight="true" outlineLevel="0" collapsed="false">
      <c r="A1" s="2" t="s">
        <v>209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210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8" t="s">
        <v>211</v>
      </c>
      <c r="B4" s="8" t="s">
        <v>212</v>
      </c>
      <c r="C4" s="8" t="s">
        <v>59</v>
      </c>
      <c r="D4" s="8" t="s">
        <v>213</v>
      </c>
      <c r="E4" s="8" t="s">
        <v>214</v>
      </c>
      <c r="F4" s="8" t="s">
        <v>171</v>
      </c>
      <c r="G4" s="8" t="s">
        <v>215</v>
      </c>
      <c r="H4" s="8" t="s">
        <v>216</v>
      </c>
    </row>
    <row r="5" customFormat="false" ht="15" hidden="false" customHeight="true" outlineLevel="0" collapsed="false">
      <c r="A5" s="11" t="s">
        <v>217</v>
      </c>
      <c r="B5" s="11" t="s">
        <v>218</v>
      </c>
      <c r="C5" s="10" t="s">
        <v>219</v>
      </c>
      <c r="D5" s="47" t="s">
        <v>220</v>
      </c>
      <c r="E5" s="48" t="s">
        <v>221</v>
      </c>
      <c r="F5" s="13" t="n">
        <v>3200000</v>
      </c>
      <c r="G5" s="15" t="s">
        <v>12</v>
      </c>
      <c r="H5" s="16" t="s">
        <v>222</v>
      </c>
    </row>
    <row r="6" customFormat="false" ht="15" hidden="false" customHeight="true" outlineLevel="0" collapsed="false">
      <c r="A6" s="11" t="s">
        <v>223</v>
      </c>
      <c r="B6" s="11" t="s">
        <v>224</v>
      </c>
      <c r="C6" s="10" t="s">
        <v>225</v>
      </c>
      <c r="D6" s="47" t="s">
        <v>220</v>
      </c>
      <c r="E6" s="48" t="s">
        <v>221</v>
      </c>
      <c r="F6" s="13" t="n">
        <v>4000000</v>
      </c>
      <c r="G6" s="15" t="s">
        <v>12</v>
      </c>
      <c r="H6" s="16" t="s">
        <v>226</v>
      </c>
    </row>
    <row r="7" customFormat="false" ht="15" hidden="false" customHeight="true" outlineLevel="0" collapsed="false">
      <c r="A7" s="11" t="s">
        <v>227</v>
      </c>
      <c r="B7" s="11" t="s">
        <v>228</v>
      </c>
      <c r="C7" s="10" t="s">
        <v>229</v>
      </c>
      <c r="D7" s="47" t="s">
        <v>230</v>
      </c>
      <c r="E7" s="48" t="s">
        <v>231</v>
      </c>
      <c r="F7" s="45" t="s">
        <v>199</v>
      </c>
      <c r="G7" s="46" t="s">
        <v>14</v>
      </c>
      <c r="H7" s="16" t="s">
        <v>232</v>
      </c>
    </row>
    <row r="8" customFormat="false" ht="15" hidden="false" customHeight="true" outlineLevel="0" collapsed="false">
      <c r="A8" s="11" t="s">
        <v>233</v>
      </c>
      <c r="B8" s="11" t="s">
        <v>234</v>
      </c>
      <c r="C8" s="10" t="s">
        <v>235</v>
      </c>
      <c r="D8" s="47" t="s">
        <v>230</v>
      </c>
      <c r="E8" s="48" t="s">
        <v>231</v>
      </c>
      <c r="F8" s="45" t="s">
        <v>199</v>
      </c>
      <c r="G8" s="46" t="s">
        <v>14</v>
      </c>
      <c r="H8" s="16" t="s">
        <v>236</v>
      </c>
    </row>
    <row r="9" customFormat="false" ht="15" hidden="false" customHeight="true" outlineLevel="0" collapsed="false">
      <c r="A9" s="11" t="s">
        <v>237</v>
      </c>
      <c r="B9" s="11" t="s">
        <v>238</v>
      </c>
      <c r="C9" s="10" t="s">
        <v>239</v>
      </c>
      <c r="D9" s="47" t="s">
        <v>240</v>
      </c>
      <c r="E9" s="48" t="s">
        <v>221</v>
      </c>
      <c r="F9" s="45" t="s">
        <v>199</v>
      </c>
      <c r="G9" s="46" t="s">
        <v>14</v>
      </c>
      <c r="H9" s="16" t="s">
        <v>241</v>
      </c>
    </row>
    <row r="10" customFormat="false" ht="15" hidden="false" customHeight="true" outlineLevel="0" collapsed="false">
      <c r="A10" s="11" t="s">
        <v>242</v>
      </c>
      <c r="B10" s="11" t="s">
        <v>243</v>
      </c>
      <c r="C10" s="10" t="s">
        <v>244</v>
      </c>
      <c r="D10" s="47" t="s">
        <v>230</v>
      </c>
      <c r="E10" s="48" t="s">
        <v>231</v>
      </c>
      <c r="F10" s="45" t="s">
        <v>199</v>
      </c>
      <c r="G10" s="46" t="s">
        <v>14</v>
      </c>
      <c r="H10" s="16" t="s">
        <v>245</v>
      </c>
    </row>
    <row r="11" customFormat="false" ht="15" hidden="false" customHeight="true" outlineLevel="0" collapsed="false">
      <c r="A11" s="11" t="s">
        <v>246</v>
      </c>
      <c r="B11" s="11" t="s">
        <v>247</v>
      </c>
      <c r="C11" s="10" t="s">
        <v>248</v>
      </c>
      <c r="D11" s="47" t="s">
        <v>249</v>
      </c>
      <c r="E11" s="48" t="s">
        <v>231</v>
      </c>
      <c r="F11" s="45" t="s">
        <v>199</v>
      </c>
      <c r="G11" s="46" t="s">
        <v>14</v>
      </c>
      <c r="H11" s="16" t="s">
        <v>250</v>
      </c>
    </row>
    <row r="12" customFormat="false" ht="15" hidden="false" customHeight="true" outlineLevel="0" collapsed="false">
      <c r="A12" s="11" t="s">
        <v>251</v>
      </c>
      <c r="B12" s="11" t="s">
        <v>252</v>
      </c>
      <c r="C12" s="10" t="s">
        <v>253</v>
      </c>
      <c r="D12" s="47" t="s">
        <v>230</v>
      </c>
      <c r="E12" s="48" t="s">
        <v>231</v>
      </c>
      <c r="F12" s="45" t="s">
        <v>199</v>
      </c>
      <c r="G12" s="46" t="s">
        <v>14</v>
      </c>
      <c r="H12" s="16" t="s">
        <v>254</v>
      </c>
    </row>
    <row r="13" customFormat="false" ht="15" hidden="false" customHeight="true" outlineLevel="0" collapsed="false">
      <c r="A13" s="11" t="s">
        <v>255</v>
      </c>
      <c r="B13" s="11" t="s">
        <v>256</v>
      </c>
      <c r="C13" s="10" t="s">
        <v>257</v>
      </c>
      <c r="D13" s="47" t="s">
        <v>230</v>
      </c>
      <c r="E13" s="48" t="s">
        <v>231</v>
      </c>
      <c r="F13" s="13" t="n">
        <v>12000</v>
      </c>
      <c r="G13" s="15" t="s">
        <v>12</v>
      </c>
      <c r="H13" s="16" t="s">
        <v>232</v>
      </c>
    </row>
    <row r="14" customFormat="false" ht="15" hidden="false" customHeight="true" outlineLevel="0" collapsed="false">
      <c r="A14" s="11" t="s">
        <v>258</v>
      </c>
      <c r="B14" s="11" t="s">
        <v>259</v>
      </c>
      <c r="C14" s="10" t="s">
        <v>225</v>
      </c>
      <c r="D14" s="47" t="s">
        <v>230</v>
      </c>
      <c r="E14" s="48" t="s">
        <v>231</v>
      </c>
      <c r="F14" s="13" t="n">
        <v>600000</v>
      </c>
      <c r="G14" s="15" t="s">
        <v>12</v>
      </c>
      <c r="H14" s="16" t="s">
        <v>260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261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262</v>
      </c>
      <c r="B2" s="3"/>
      <c r="C2" s="3"/>
      <c r="D2" s="3"/>
      <c r="E2" s="3"/>
    </row>
    <row r="4" customFormat="false" ht="30" hidden="false" customHeight="true" outlineLevel="0" collapsed="false">
      <c r="A4" s="8" t="s">
        <v>138</v>
      </c>
      <c r="B4" s="8" t="s">
        <v>139</v>
      </c>
      <c r="C4" s="8" t="s">
        <v>58</v>
      </c>
      <c r="D4" s="8" t="s">
        <v>140</v>
      </c>
      <c r="E4" s="8"/>
    </row>
    <row r="5" customFormat="false" ht="18.75" hidden="false" customHeight="true" outlineLevel="0" collapsed="false">
      <c r="A5" s="49" t="s">
        <v>263</v>
      </c>
      <c r="B5" s="29" t="n">
        <v>0.23</v>
      </c>
      <c r="C5" s="27" t="s">
        <v>264</v>
      </c>
      <c r="D5" s="28" t="s">
        <v>265</v>
      </c>
    </row>
    <row r="6" customFormat="false" ht="15" hidden="false" customHeight="true" outlineLevel="0" collapsed="false">
      <c r="A6" s="30" t="s">
        <v>266</v>
      </c>
      <c r="B6" s="50" t="n">
        <v>0.15</v>
      </c>
      <c r="C6" s="51" t="s">
        <v>267</v>
      </c>
      <c r="D6" s="16" t="s">
        <v>268</v>
      </c>
    </row>
    <row r="7" customFormat="false" ht="15" hidden="false" customHeight="true" outlineLevel="0" collapsed="false">
      <c r="A7" s="30" t="s">
        <v>269</v>
      </c>
      <c r="B7" s="50" t="n">
        <v>0.05</v>
      </c>
      <c r="C7" s="51" t="s">
        <v>267</v>
      </c>
      <c r="D7" s="16" t="s">
        <v>270</v>
      </c>
    </row>
    <row r="8" customFormat="false" ht="15" hidden="false" customHeight="true" outlineLevel="0" collapsed="false">
      <c r="A8" s="30" t="s">
        <v>271</v>
      </c>
      <c r="B8" s="50" t="n">
        <v>0.02</v>
      </c>
      <c r="C8" s="51" t="s">
        <v>272</v>
      </c>
      <c r="D8" s="16" t="s">
        <v>273</v>
      </c>
    </row>
    <row r="9" customFormat="false" ht="15" hidden="false" customHeight="true" outlineLevel="0" collapsed="false">
      <c r="A9" s="30" t="s">
        <v>274</v>
      </c>
      <c r="B9" s="50" t="n">
        <v>0.0816</v>
      </c>
      <c r="C9" s="51" t="s">
        <v>272</v>
      </c>
      <c r="D9" s="16" t="s">
        <v>275</v>
      </c>
    </row>
    <row r="10" customFormat="false" ht="15" hidden="false" customHeight="true" outlineLevel="0" collapsed="false">
      <c r="A10" s="30" t="s">
        <v>276</v>
      </c>
      <c r="B10" s="50" t="n">
        <v>0.0515</v>
      </c>
      <c r="C10" s="51" t="s">
        <v>272</v>
      </c>
      <c r="D10" s="16" t="s">
        <v>277</v>
      </c>
    </row>
    <row r="11" customFormat="false" ht="15" hidden="false" customHeight="true" outlineLevel="0" collapsed="false">
      <c r="A11" s="30" t="s">
        <v>278</v>
      </c>
      <c r="B11" s="50" t="n">
        <v>0.25</v>
      </c>
      <c r="C11" s="51" t="s">
        <v>267</v>
      </c>
      <c r="D11" s="16" t="s">
        <v>279</v>
      </c>
    </row>
    <row r="12" customFormat="false" ht="15" hidden="false" customHeight="true" outlineLevel="0" collapsed="false">
      <c r="A12" s="30" t="s">
        <v>280</v>
      </c>
      <c r="B12" s="52" t="n">
        <v>14</v>
      </c>
      <c r="C12" s="51" t="s">
        <v>281</v>
      </c>
      <c r="D12" s="16" t="s">
        <v>282</v>
      </c>
    </row>
    <row r="13" customFormat="false" ht="15" hidden="false" customHeight="true" outlineLevel="0" collapsed="false">
      <c r="A13" s="30" t="s">
        <v>283</v>
      </c>
      <c r="B13" s="52" t="s">
        <v>284</v>
      </c>
      <c r="C13" s="51" t="s">
        <v>285</v>
      </c>
      <c r="D13" s="16" t="s">
        <v>286</v>
      </c>
    </row>
    <row r="14" customFormat="false" ht="15" hidden="false" customHeight="true" outlineLevel="0" collapsed="false">
      <c r="A14" s="30" t="s">
        <v>287</v>
      </c>
      <c r="B14" s="53" t="n">
        <v>155000</v>
      </c>
      <c r="C14" s="51" t="s">
        <v>288</v>
      </c>
      <c r="D14" s="16" t="s">
        <v>289</v>
      </c>
    </row>
    <row r="15" customFormat="false" ht="15" hidden="false" customHeight="true" outlineLevel="0" collapsed="false">
      <c r="A15" s="49" t="s">
        <v>290</v>
      </c>
      <c r="B15" s="26" t="n">
        <v>165000</v>
      </c>
      <c r="C15" s="27" t="s">
        <v>288</v>
      </c>
      <c r="D15" s="28" t="s">
        <v>291</v>
      </c>
    </row>
    <row r="16" customFormat="false" ht="15" hidden="false" customHeight="true" outlineLevel="0" collapsed="false">
      <c r="A16" s="30" t="s">
        <v>292</v>
      </c>
      <c r="B16" s="53" t="n">
        <v>178000</v>
      </c>
      <c r="C16" s="51" t="s">
        <v>288</v>
      </c>
      <c r="D16" s="16" t="s">
        <v>293</v>
      </c>
    </row>
    <row r="17" customFormat="false" ht="15" hidden="false" customHeight="true" outlineLevel="0" collapsed="false">
      <c r="A17" s="49" t="s">
        <v>294</v>
      </c>
      <c r="B17" s="26" t="n">
        <v>0</v>
      </c>
      <c r="C17" s="27" t="s">
        <v>295</v>
      </c>
      <c r="D17" s="28" t="s">
        <v>296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297</v>
      </c>
      <c r="B1" s="2"/>
      <c r="C1" s="2"/>
      <c r="D1" s="2"/>
    </row>
    <row r="2" customFormat="false" ht="27.75" hidden="false" customHeight="true" outlineLevel="0" collapsed="false">
      <c r="A2" s="3" t="s">
        <v>298</v>
      </c>
      <c r="B2" s="3"/>
      <c r="C2" s="3"/>
      <c r="D2" s="3"/>
    </row>
    <row r="4" customFormat="false" ht="30" hidden="false" customHeight="true" outlineLevel="0" collapsed="false">
      <c r="A4" s="8" t="s">
        <v>299</v>
      </c>
      <c r="B4" s="8" t="s">
        <v>300</v>
      </c>
      <c r="C4" s="8" t="s">
        <v>58</v>
      </c>
      <c r="D4" s="8" t="s">
        <v>159</v>
      </c>
    </row>
    <row r="5" customFormat="false" ht="15" hidden="false" customHeight="true" outlineLevel="0" collapsed="false">
      <c r="A5" s="10" t="s">
        <v>301</v>
      </c>
      <c r="B5" s="13" t="n">
        <v>600</v>
      </c>
      <c r="C5" s="10" t="s">
        <v>302</v>
      </c>
      <c r="D5" s="40" t="s">
        <v>71</v>
      </c>
    </row>
    <row r="6" customFormat="false" ht="15" hidden="false" customHeight="true" outlineLevel="0" collapsed="false">
      <c r="A6" s="10" t="s">
        <v>303</v>
      </c>
      <c r="B6" s="13" t="n">
        <v>7500</v>
      </c>
      <c r="C6" s="10" t="s">
        <v>68</v>
      </c>
      <c r="D6" s="40" t="s">
        <v>71</v>
      </c>
    </row>
    <row r="7" customFormat="false" ht="15" hidden="false" customHeight="true" outlineLevel="0" collapsed="false">
      <c r="A7" s="10" t="s">
        <v>304</v>
      </c>
      <c r="B7" s="13" t="n">
        <v>15000</v>
      </c>
      <c r="C7" s="10" t="s">
        <v>83</v>
      </c>
      <c r="D7" s="40" t="s">
        <v>71</v>
      </c>
    </row>
    <row r="8" customFormat="false" ht="15" hidden="false" customHeight="true" outlineLevel="0" collapsed="false">
      <c r="A8" s="10" t="s">
        <v>305</v>
      </c>
      <c r="B8" s="13" t="n">
        <v>2500</v>
      </c>
      <c r="C8" s="10" t="s">
        <v>68</v>
      </c>
      <c r="D8" s="40" t="s">
        <v>71</v>
      </c>
    </row>
    <row r="9" customFormat="false" ht="15" hidden="false" customHeight="true" outlineLevel="0" collapsed="false">
      <c r="A9" s="10" t="s">
        <v>306</v>
      </c>
      <c r="B9" s="13" t="n">
        <v>1200</v>
      </c>
      <c r="C9" s="10" t="s">
        <v>88</v>
      </c>
      <c r="D9" s="40" t="s">
        <v>71</v>
      </c>
    </row>
    <row r="10" customFormat="false" ht="15" hidden="false" customHeight="true" outlineLevel="0" collapsed="false">
      <c r="A10" s="10" t="s">
        <v>307</v>
      </c>
      <c r="B10" s="13" t="n">
        <v>3000</v>
      </c>
      <c r="C10" s="10" t="s">
        <v>88</v>
      </c>
      <c r="D10" s="40" t="s">
        <v>71</v>
      </c>
    </row>
    <row r="11" customFormat="false" ht="15" hidden="false" customHeight="true" outlineLevel="0" collapsed="false">
      <c r="A11" s="10" t="s">
        <v>308</v>
      </c>
      <c r="B11" s="13" t="n">
        <v>1500</v>
      </c>
      <c r="C11" s="10" t="s">
        <v>88</v>
      </c>
      <c r="D11" s="40" t="s">
        <v>71</v>
      </c>
    </row>
    <row r="12" customFormat="false" ht="15" hidden="false" customHeight="true" outlineLevel="0" collapsed="false">
      <c r="A12" s="41" t="s">
        <v>309</v>
      </c>
      <c r="B12" s="54"/>
      <c r="C12" s="41" t="s">
        <v>310</v>
      </c>
      <c r="D12" s="43" t="s">
        <v>311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312</v>
      </c>
      <c r="B1" s="2"/>
      <c r="C1" s="2"/>
      <c r="D1" s="2"/>
    </row>
    <row r="2" customFormat="false" ht="27.75" hidden="false" customHeight="true" outlineLevel="0" collapsed="false">
      <c r="A2" s="3" t="s">
        <v>313</v>
      </c>
      <c r="B2" s="3"/>
      <c r="C2" s="3"/>
      <c r="D2" s="3"/>
    </row>
    <row r="4" customFormat="false" ht="30" hidden="false" customHeight="true" outlineLevel="0" collapsed="false">
      <c r="A4" s="8" t="s">
        <v>314</v>
      </c>
      <c r="B4" s="8" t="s">
        <v>315</v>
      </c>
      <c r="C4" s="8" t="s">
        <v>58</v>
      </c>
      <c r="D4" s="8" t="s">
        <v>159</v>
      </c>
    </row>
    <row r="5" customFormat="false" ht="15" hidden="false" customHeight="true" outlineLevel="0" collapsed="false">
      <c r="A5" s="55" t="s">
        <v>316</v>
      </c>
      <c r="B5" s="55" t="s">
        <v>317</v>
      </c>
      <c r="C5" s="55" t="s">
        <v>318</v>
      </c>
      <c r="D5" s="56"/>
    </row>
    <row r="6" customFormat="false" ht="15" hidden="false" customHeight="true" outlineLevel="0" collapsed="false">
      <c r="A6" s="56"/>
      <c r="B6" s="56"/>
      <c r="C6" s="56"/>
      <c r="D6" s="56"/>
    </row>
    <row r="7" customFormat="false" ht="15" hidden="false" customHeight="true" outlineLevel="0" collapsed="false">
      <c r="A7" s="56"/>
      <c r="B7" s="56"/>
      <c r="C7" s="56"/>
      <c r="D7" s="56"/>
    </row>
    <row r="8" customFormat="false" ht="15" hidden="false" customHeight="true" outlineLevel="0" collapsed="false">
      <c r="A8" s="56"/>
      <c r="B8" s="56"/>
      <c r="C8" s="56"/>
      <c r="D8" s="56"/>
    </row>
    <row r="9" customFormat="false" ht="15" hidden="false" customHeight="true" outlineLevel="0" collapsed="false">
      <c r="A9" s="56"/>
      <c r="B9" s="56"/>
      <c r="C9" s="56"/>
      <c r="D9" s="56"/>
    </row>
    <row r="10" customFormat="false" ht="15" hidden="false" customHeight="true" outlineLevel="0" collapsed="false">
      <c r="A10" s="56"/>
      <c r="B10" s="56"/>
      <c r="C10" s="56"/>
      <c r="D10" s="56"/>
    </row>
    <row r="11" customFormat="false" ht="15" hidden="false" customHeight="true" outlineLevel="0" collapsed="false">
      <c r="A11" s="56"/>
      <c r="B11" s="56"/>
      <c r="C11" s="56"/>
      <c r="D11" s="56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34"/>
    <col collapsed="false" customWidth="true" hidden="false" outlineLevel="0" max="3" min="3" style="1" width="4"/>
  </cols>
  <sheetData>
    <row r="1" customFormat="false" ht="17.25" hidden="false" customHeight="true" outlineLevel="0" collapsed="false">
      <c r="A1" s="2" t="s">
        <v>319</v>
      </c>
      <c r="B1" s="2"/>
      <c r="C1" s="2"/>
    </row>
    <row r="2" customFormat="false" ht="27.75" hidden="false" customHeight="true" outlineLevel="0" collapsed="false">
      <c r="A2" s="3" t="s">
        <v>320</v>
      </c>
      <c r="B2" s="3"/>
      <c r="C2" s="3"/>
    </row>
    <row r="4" customFormat="false" ht="30" hidden="false" customHeight="true" outlineLevel="0" collapsed="false">
      <c r="A4" s="8" t="s">
        <v>321</v>
      </c>
      <c r="B4" s="8" t="s">
        <v>322</v>
      </c>
      <c r="C4" s="8"/>
    </row>
    <row r="5" customFormat="false" ht="15" hidden="false" customHeight="true" outlineLevel="0" collapsed="false">
      <c r="A5" s="57" t="s">
        <v>323</v>
      </c>
      <c r="B5" s="58"/>
      <c r="C5" s="32"/>
    </row>
    <row r="6" customFormat="false" ht="15" hidden="false" customHeight="true" outlineLevel="0" collapsed="false">
      <c r="A6" s="57" t="s">
        <v>324</v>
      </c>
      <c r="B6" s="58" t="s">
        <v>325</v>
      </c>
      <c r="C6" s="32"/>
    </row>
    <row r="7" customFormat="false" ht="15" hidden="false" customHeight="true" outlineLevel="0" collapsed="false">
      <c r="A7" s="57" t="s">
        <v>326</v>
      </c>
      <c r="B7" s="58" t="s">
        <v>327</v>
      </c>
      <c r="C7" s="32"/>
    </row>
    <row r="8" customFormat="false" ht="15" hidden="false" customHeight="true" outlineLevel="0" collapsed="false">
      <c r="A8" s="57" t="s">
        <v>328</v>
      </c>
      <c r="B8" s="58" t="s">
        <v>329</v>
      </c>
      <c r="C8" s="32"/>
    </row>
    <row r="9" customFormat="false" ht="15" hidden="false" customHeight="true" outlineLevel="0" collapsed="false">
      <c r="A9" s="57"/>
      <c r="B9" s="58"/>
      <c r="C9" s="32"/>
    </row>
    <row r="10" customFormat="false" ht="15" hidden="false" customHeight="true" outlineLevel="0" collapsed="false">
      <c r="A10" s="59" t="s">
        <v>330</v>
      </c>
      <c r="B10" s="59"/>
      <c r="C10" s="59"/>
    </row>
    <row r="11" customFormat="false" ht="15" hidden="false" customHeight="true" outlineLevel="0" collapsed="false">
      <c r="A11" s="57" t="s">
        <v>331</v>
      </c>
      <c r="B11" s="58" t="s">
        <v>332</v>
      </c>
      <c r="C11" s="32"/>
    </row>
    <row r="12" customFormat="false" ht="15" hidden="false" customHeight="true" outlineLevel="0" collapsed="false">
      <c r="A12" s="57" t="s">
        <v>333</v>
      </c>
      <c r="B12" s="58" t="s">
        <v>334</v>
      </c>
      <c r="C12" s="32"/>
    </row>
    <row r="13" customFormat="false" ht="23.25" hidden="false" customHeight="true" outlineLevel="0" collapsed="false">
      <c r="A13" s="57" t="s">
        <v>335</v>
      </c>
      <c r="B13" s="58"/>
      <c r="C13" s="32"/>
    </row>
    <row r="14" customFormat="false" ht="15" hidden="false" customHeight="true" outlineLevel="0" collapsed="false">
      <c r="A14" s="57" t="s">
        <v>336</v>
      </c>
      <c r="B14" s="58" t="s">
        <v>337</v>
      </c>
      <c r="C14" s="32"/>
    </row>
    <row r="15" customFormat="false" ht="15" hidden="false" customHeight="true" outlineLevel="0" collapsed="false">
      <c r="A15" s="57"/>
      <c r="B15" s="58"/>
      <c r="C15" s="32"/>
    </row>
    <row r="16" customFormat="false" ht="15" hidden="false" customHeight="true" outlineLevel="0" collapsed="false">
      <c r="A16" s="59" t="s">
        <v>338</v>
      </c>
      <c r="B16" s="59"/>
      <c r="C16" s="59"/>
    </row>
    <row r="17" customFormat="false" ht="15" hidden="false" customHeight="true" outlineLevel="0" collapsed="false">
      <c r="A17" s="57" t="s">
        <v>339</v>
      </c>
      <c r="B17" s="58" t="s">
        <v>340</v>
      </c>
      <c r="C17" s="32"/>
    </row>
    <row r="18" customFormat="false" ht="15" hidden="false" customHeight="true" outlineLevel="0" collapsed="false">
      <c r="A18" s="57" t="s">
        <v>341</v>
      </c>
      <c r="B18" s="58" t="s">
        <v>342</v>
      </c>
      <c r="C18" s="32"/>
    </row>
    <row r="19" customFormat="false" ht="15" hidden="false" customHeight="true" outlineLevel="0" collapsed="false">
      <c r="A19" s="57"/>
      <c r="B19" s="58"/>
      <c r="C19" s="32"/>
    </row>
    <row r="20" customFormat="false" ht="15" hidden="false" customHeight="true" outlineLevel="0" collapsed="false">
      <c r="A20" s="59" t="s">
        <v>343</v>
      </c>
      <c r="B20" s="59"/>
      <c r="C20" s="59"/>
    </row>
    <row r="21" customFormat="false" ht="15" hidden="false" customHeight="true" outlineLevel="0" collapsed="false">
      <c r="A21" s="57" t="s">
        <v>344</v>
      </c>
      <c r="B21" s="58" t="s">
        <v>345</v>
      </c>
      <c r="C21" s="32"/>
    </row>
    <row r="22" customFormat="false" ht="15" hidden="false" customHeight="true" outlineLevel="0" collapsed="false">
      <c r="A22" s="57" t="s">
        <v>346</v>
      </c>
      <c r="B22" s="58" t="s">
        <v>347</v>
      </c>
      <c r="C22" s="32"/>
    </row>
  </sheetData>
  <mergeCells count="5">
    <mergeCell ref="A1:C1"/>
    <mergeCell ref="A2:C2"/>
    <mergeCell ref="A10:C10"/>
    <mergeCell ref="A16:C16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5" min="4" style="1" width="16"/>
  </cols>
  <sheetData>
    <row r="1" customFormat="false" ht="17.25" hidden="false" customHeight="true" outlineLevel="0" collapsed="false">
      <c r="A1" s="2" t="s">
        <v>348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349</v>
      </c>
      <c r="B2" s="3"/>
      <c r="C2" s="3"/>
      <c r="D2" s="3"/>
      <c r="E2" s="3"/>
    </row>
    <row r="4" customFormat="false" ht="30" hidden="false" customHeight="true" outlineLevel="0" collapsed="false">
      <c r="A4" s="8" t="s">
        <v>350</v>
      </c>
      <c r="B4" s="8" t="s">
        <v>351</v>
      </c>
      <c r="C4" s="8" t="s">
        <v>64</v>
      </c>
      <c r="D4" s="8" t="s">
        <v>352</v>
      </c>
      <c r="E4" s="8" t="s">
        <v>159</v>
      </c>
    </row>
    <row r="5" customFormat="false" ht="21.75" hidden="false" customHeight="true" outlineLevel="0" collapsed="false">
      <c r="A5" s="60" t="s">
        <v>353</v>
      </c>
      <c r="B5" s="11" t="s">
        <v>354</v>
      </c>
      <c r="C5" s="61" t="s">
        <v>355</v>
      </c>
      <c r="D5" s="51" t="s">
        <v>356</v>
      </c>
      <c r="E5" s="40" t="s">
        <v>357</v>
      </c>
    </row>
    <row r="6" customFormat="false" ht="15" hidden="false" customHeight="true" outlineLevel="0" collapsed="false">
      <c r="A6" s="60" t="s">
        <v>358</v>
      </c>
      <c r="B6" s="11" t="s">
        <v>359</v>
      </c>
      <c r="C6" s="62" t="s">
        <v>360</v>
      </c>
      <c r="D6" s="51" t="s">
        <v>356</v>
      </c>
      <c r="E6" s="40" t="s">
        <v>357</v>
      </c>
    </row>
    <row r="7" customFormat="false" ht="15" hidden="false" customHeight="true" outlineLevel="0" collapsed="false">
      <c r="A7" s="60" t="s">
        <v>361</v>
      </c>
      <c r="B7" s="11" t="s">
        <v>362</v>
      </c>
      <c r="C7" s="62" t="s">
        <v>363</v>
      </c>
      <c r="D7" s="51" t="s">
        <v>356</v>
      </c>
      <c r="E7" s="40" t="s">
        <v>357</v>
      </c>
    </row>
    <row r="8" customFormat="false" ht="15" hidden="false" customHeight="true" outlineLevel="0" collapsed="false">
      <c r="A8" s="60" t="s">
        <v>364</v>
      </c>
      <c r="B8" s="11" t="s">
        <v>365</v>
      </c>
      <c r="C8" s="61" t="s">
        <v>355</v>
      </c>
      <c r="D8" s="51" t="s">
        <v>356</v>
      </c>
      <c r="E8" s="40" t="s">
        <v>357</v>
      </c>
    </row>
    <row r="9" customFormat="false" ht="15" hidden="false" customHeight="true" outlineLevel="0" collapsed="false">
      <c r="A9" s="60" t="s">
        <v>366</v>
      </c>
      <c r="B9" s="11" t="s">
        <v>367</v>
      </c>
      <c r="C9" s="61" t="s">
        <v>355</v>
      </c>
      <c r="D9" s="51" t="s">
        <v>356</v>
      </c>
      <c r="E9" s="40" t="s">
        <v>368</v>
      </c>
    </row>
    <row r="10" customFormat="false" ht="21.75" hidden="false" customHeight="true" outlineLevel="0" collapsed="false">
      <c r="A10" s="60" t="s">
        <v>369</v>
      </c>
      <c r="B10" s="11" t="s">
        <v>370</v>
      </c>
      <c r="C10" s="61" t="s">
        <v>371</v>
      </c>
      <c r="D10" s="51" t="s">
        <v>356</v>
      </c>
      <c r="E10" s="40" t="s">
        <v>372</v>
      </c>
    </row>
    <row r="11" customFormat="false" ht="15" hidden="false" customHeight="true" outlineLevel="0" collapsed="false">
      <c r="A11" s="60" t="s">
        <v>373</v>
      </c>
      <c r="B11" s="11" t="s">
        <v>374</v>
      </c>
      <c r="C11" s="61" t="s">
        <v>375</v>
      </c>
      <c r="D11" s="51" t="s">
        <v>376</v>
      </c>
      <c r="E11" s="40" t="s">
        <v>377</v>
      </c>
    </row>
    <row r="12" customFormat="false" ht="15" hidden="false" customHeight="true" outlineLevel="0" collapsed="false">
      <c r="A12" s="60" t="s">
        <v>378</v>
      </c>
      <c r="B12" s="11" t="s">
        <v>379</v>
      </c>
      <c r="C12" s="61" t="s">
        <v>355</v>
      </c>
      <c r="D12" s="51" t="s">
        <v>356</v>
      </c>
      <c r="E12" s="40" t="s">
        <v>380</v>
      </c>
    </row>
    <row r="13" customFormat="false" ht="15" hidden="false" customHeight="true" outlineLevel="0" collapsed="false">
      <c r="A13" s="60" t="s">
        <v>381</v>
      </c>
      <c r="B13" s="11" t="s">
        <v>382</v>
      </c>
      <c r="C13" s="61" t="s">
        <v>355</v>
      </c>
      <c r="D13" s="51" t="s">
        <v>356</v>
      </c>
      <c r="E13" s="40" t="s">
        <v>383</v>
      </c>
    </row>
    <row r="14" customFormat="false" ht="15" hidden="false" customHeight="true" outlineLevel="0" collapsed="false">
      <c r="A14" s="60" t="s">
        <v>384</v>
      </c>
      <c r="B14" s="11" t="s">
        <v>385</v>
      </c>
      <c r="C14" s="61" t="s">
        <v>386</v>
      </c>
      <c r="D14" s="51" t="s">
        <v>356</v>
      </c>
      <c r="E14" s="40" t="s">
        <v>357</v>
      </c>
    </row>
    <row r="15" customFormat="false" ht="15" hidden="false" customHeight="true" outlineLevel="0" collapsed="false">
      <c r="A15" s="60" t="s">
        <v>387</v>
      </c>
      <c r="B15" s="11" t="s">
        <v>388</v>
      </c>
      <c r="C15" s="61" t="s">
        <v>355</v>
      </c>
      <c r="D15" s="51" t="s">
        <v>356</v>
      </c>
      <c r="E15" s="40" t="s">
        <v>357</v>
      </c>
    </row>
    <row r="16" customFormat="false" ht="21.75" hidden="false" customHeight="true" outlineLevel="0" collapsed="false">
      <c r="A16" s="60" t="s">
        <v>389</v>
      </c>
      <c r="B16" s="11" t="s">
        <v>390</v>
      </c>
      <c r="C16" s="61" t="s">
        <v>355</v>
      </c>
      <c r="D16" s="51" t="s">
        <v>391</v>
      </c>
      <c r="E16" s="40" t="s">
        <v>357</v>
      </c>
    </row>
    <row r="17" customFormat="false" ht="21.75" hidden="false" customHeight="true" outlineLevel="0" collapsed="false">
      <c r="A17" s="60" t="s">
        <v>392</v>
      </c>
      <c r="B17" s="11" t="s">
        <v>393</v>
      </c>
      <c r="C17" s="61" t="s">
        <v>355</v>
      </c>
      <c r="D17" s="51" t="s">
        <v>391</v>
      </c>
      <c r="E17" s="40" t="s">
        <v>357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" t="s">
        <v>394</v>
      </c>
      <c r="B1" s="2"/>
      <c r="C1" s="2"/>
      <c r="D1" s="2"/>
    </row>
    <row r="2" customFormat="false" ht="27.75" hidden="false" customHeight="true" outlineLevel="0" collapsed="false">
      <c r="A2" s="3" t="s">
        <v>395</v>
      </c>
      <c r="B2" s="3"/>
      <c r="C2" s="3"/>
      <c r="D2" s="3"/>
    </row>
    <row r="4" customFormat="false" ht="30" hidden="false" customHeight="true" outlineLevel="0" collapsed="false">
      <c r="A4" s="8" t="s">
        <v>138</v>
      </c>
      <c r="B4" s="8" t="s">
        <v>139</v>
      </c>
      <c r="C4" s="8"/>
      <c r="D4" s="8"/>
    </row>
    <row r="5" customFormat="false" ht="15" hidden="false" customHeight="true" outlineLevel="0" collapsed="false">
      <c r="A5" s="63" t="s">
        <v>396</v>
      </c>
      <c r="B5" s="57" t="s">
        <v>397</v>
      </c>
    </row>
    <row r="6" customFormat="false" ht="15" hidden="false" customHeight="true" outlineLevel="0" collapsed="false">
      <c r="A6" s="63" t="s">
        <v>398</v>
      </c>
      <c r="B6" s="57" t="s">
        <v>399</v>
      </c>
    </row>
    <row r="7" customFormat="false" ht="15" hidden="false" customHeight="true" outlineLevel="0" collapsed="false">
      <c r="A7" s="63" t="s">
        <v>400</v>
      </c>
      <c r="B7" s="57" t="s">
        <v>401</v>
      </c>
    </row>
    <row r="8" customFormat="false" ht="15" hidden="false" customHeight="true" outlineLevel="0" collapsed="false">
      <c r="A8" s="63" t="s">
        <v>402</v>
      </c>
      <c r="B8" s="57" t="s">
        <v>403</v>
      </c>
    </row>
    <row r="9" customFormat="false" ht="15" hidden="false" customHeight="true" outlineLevel="0" collapsed="false">
      <c r="A9" s="63" t="s">
        <v>404</v>
      </c>
      <c r="B9" s="57" t="s">
        <v>405</v>
      </c>
    </row>
    <row r="10" customFormat="false" ht="15" hidden="false" customHeight="true" outlineLevel="0" collapsed="false">
      <c r="A10" s="63" t="s">
        <v>406</v>
      </c>
      <c r="B10" s="57" t="s">
        <v>407</v>
      </c>
    </row>
    <row r="11" customFormat="false" ht="15" hidden="false" customHeight="true" outlineLevel="0" collapsed="false">
      <c r="A11" s="63" t="s">
        <v>408</v>
      </c>
      <c r="B11" s="57" t="s">
        <v>409</v>
      </c>
    </row>
    <row r="12" customFormat="false" ht="15" hidden="false" customHeight="true" outlineLevel="0" collapsed="false">
      <c r="A12" s="63" t="s">
        <v>410</v>
      </c>
      <c r="B12" s="57" t="s">
        <v>411</v>
      </c>
    </row>
    <row r="13" customFormat="false" ht="15" hidden="false" customHeight="true" outlineLevel="0" collapsed="false">
      <c r="A13" s="63" t="s">
        <v>412</v>
      </c>
      <c r="B13" s="57" t="s">
        <v>413</v>
      </c>
    </row>
    <row r="14" customFormat="false" ht="15" hidden="false" customHeight="true" outlineLevel="0" collapsed="false">
      <c r="A14" s="63" t="s">
        <v>280</v>
      </c>
      <c r="B14" s="57" t="s">
        <v>414</v>
      </c>
    </row>
    <row r="15" customFormat="false" ht="15" hidden="false" customHeight="true" outlineLevel="0" collapsed="false">
      <c r="A15" s="63" t="s">
        <v>415</v>
      </c>
      <c r="B15" s="57" t="s">
        <v>416</v>
      </c>
    </row>
    <row r="16" customFormat="false" ht="15" hidden="false" customHeight="true" outlineLevel="0" collapsed="false">
      <c r="A16" s="63" t="s">
        <v>417</v>
      </c>
      <c r="B16" s="57" t="s">
        <v>418</v>
      </c>
    </row>
    <row r="17" customFormat="false" ht="15" hidden="false" customHeight="true" outlineLevel="0" collapsed="false">
      <c r="A17" s="63" t="s">
        <v>419</v>
      </c>
      <c r="B17" s="57" t="s">
        <v>420</v>
      </c>
    </row>
    <row r="18" customFormat="false" ht="15" hidden="false" customHeight="true" outlineLevel="0" collapsed="false">
      <c r="A18" s="63" t="s">
        <v>64</v>
      </c>
      <c r="B18" s="57" t="s">
        <v>421</v>
      </c>
    </row>
    <row r="19" customFormat="false" ht="15" hidden="false" customHeight="true" outlineLevel="0" collapsed="false">
      <c r="A19" s="63" t="s">
        <v>422</v>
      </c>
      <c r="B19" s="57" t="s">
        <v>423</v>
      </c>
    </row>
    <row r="20" customFormat="false" ht="15" hidden="false" customHeight="true" outlineLevel="0" collapsed="false">
      <c r="A20" s="63" t="s">
        <v>424</v>
      </c>
      <c r="B20" s="57" t="s">
        <v>425</v>
      </c>
    </row>
    <row r="22" customFormat="false" ht="15" hidden="false" customHeight="true" outlineLevel="0" collapsed="false">
      <c r="A22" s="64" t="s">
        <v>426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50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427</v>
      </c>
      <c r="B1" s="2"/>
      <c r="C1" s="2"/>
      <c r="D1" s="2"/>
    </row>
    <row r="2" customFormat="false" ht="27.75" hidden="false" customHeight="true" outlineLevel="0" collapsed="false">
      <c r="A2" s="3" t="s">
        <v>428</v>
      </c>
      <c r="B2" s="3"/>
      <c r="C2" s="3"/>
      <c r="D2" s="3"/>
    </row>
    <row r="4" customFormat="false" ht="30" hidden="false" customHeight="true" outlineLevel="0" collapsed="false">
      <c r="A4" s="8" t="s">
        <v>56</v>
      </c>
      <c r="B4" s="8" t="s">
        <v>429</v>
      </c>
      <c r="C4" s="8" t="s">
        <v>430</v>
      </c>
      <c r="D4" s="8" t="s">
        <v>431</v>
      </c>
    </row>
    <row r="5" customFormat="false" ht="30" hidden="false" customHeight="true" outlineLevel="0" collapsed="false">
      <c r="A5" s="47" t="n">
        <v>1</v>
      </c>
      <c r="B5" s="11" t="s">
        <v>432</v>
      </c>
      <c r="C5" s="65" t="s">
        <v>433</v>
      </c>
      <c r="D5" s="51" t="s">
        <v>434</v>
      </c>
    </row>
    <row r="6" customFormat="false" ht="30" hidden="false" customHeight="true" outlineLevel="0" collapsed="false">
      <c r="A6" s="47" t="n">
        <v>2</v>
      </c>
      <c r="B6" s="11" t="s">
        <v>435</v>
      </c>
      <c r="C6" s="65" t="s">
        <v>436</v>
      </c>
      <c r="D6" s="51" t="s">
        <v>437</v>
      </c>
    </row>
    <row r="7" customFormat="false" ht="30" hidden="false" customHeight="true" outlineLevel="0" collapsed="false">
      <c r="A7" s="47" t="n">
        <v>3</v>
      </c>
      <c r="B7" s="11" t="s">
        <v>438</v>
      </c>
      <c r="C7" s="65" t="s">
        <v>439</v>
      </c>
      <c r="D7" s="51" t="s">
        <v>440</v>
      </c>
    </row>
    <row r="8" customFormat="false" ht="30" hidden="false" customHeight="true" outlineLevel="0" collapsed="false">
      <c r="A8" s="47" t="n">
        <v>4</v>
      </c>
      <c r="B8" s="11" t="s">
        <v>441</v>
      </c>
      <c r="C8" s="65" t="s">
        <v>442</v>
      </c>
      <c r="D8" s="51" t="s">
        <v>443</v>
      </c>
    </row>
    <row r="9" customFormat="false" ht="30" hidden="false" customHeight="true" outlineLevel="0" collapsed="false">
      <c r="A9" s="47" t="n">
        <v>5</v>
      </c>
      <c r="B9" s="11" t="s">
        <v>444</v>
      </c>
      <c r="C9" s="65" t="s">
        <v>445</v>
      </c>
      <c r="D9" s="51" t="s">
        <v>446</v>
      </c>
    </row>
    <row r="10" customFormat="false" ht="30" hidden="false" customHeight="true" outlineLevel="0" collapsed="false">
      <c r="A10" s="47" t="n">
        <v>6</v>
      </c>
      <c r="B10" s="11" t="s">
        <v>447</v>
      </c>
      <c r="C10" s="65" t="s">
        <v>448</v>
      </c>
      <c r="D10" s="51" t="s">
        <v>449</v>
      </c>
    </row>
    <row r="11" customFormat="false" ht="30" hidden="false" customHeight="true" outlineLevel="0" collapsed="false">
      <c r="A11" s="47" t="n">
        <v>7</v>
      </c>
      <c r="B11" s="11" t="s">
        <v>450</v>
      </c>
      <c r="C11" s="65" t="s">
        <v>451</v>
      </c>
      <c r="D11" s="51" t="s">
        <v>446</v>
      </c>
    </row>
    <row r="12" customFormat="false" ht="30" hidden="false" customHeight="true" outlineLevel="0" collapsed="false">
      <c r="A12" s="47" t="n">
        <v>8</v>
      </c>
      <c r="B12" s="11" t="s">
        <v>452</v>
      </c>
      <c r="C12" s="65" t="s">
        <v>453</v>
      </c>
      <c r="D12" s="51" t="s">
        <v>449</v>
      </c>
    </row>
    <row r="13" customFormat="false" ht="30" hidden="false" customHeight="true" outlineLevel="0" collapsed="false">
      <c r="A13" s="47" t="n">
        <v>9</v>
      </c>
      <c r="B13" s="11" t="s">
        <v>454</v>
      </c>
      <c r="C13" s="65" t="s">
        <v>455</v>
      </c>
      <c r="D13" s="51" t="s">
        <v>446</v>
      </c>
    </row>
    <row r="14" customFormat="false" ht="30" hidden="false" customHeight="true" outlineLevel="0" collapsed="false">
      <c r="A14" s="47" t="n">
        <v>10</v>
      </c>
      <c r="B14" s="11" t="s">
        <v>456</v>
      </c>
      <c r="C14" s="65" t="s">
        <v>457</v>
      </c>
      <c r="D14" s="51" t="s">
        <v>458</v>
      </c>
    </row>
    <row r="15" customFormat="false" ht="30" hidden="false" customHeight="true" outlineLevel="0" collapsed="false">
      <c r="A15" s="47" t="n">
        <v>11</v>
      </c>
      <c r="B15" s="11" t="s">
        <v>459</v>
      </c>
      <c r="C15" s="65" t="s">
        <v>460</v>
      </c>
      <c r="D15" s="51" t="s">
        <v>440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  <col collapsed="false" customWidth="true" hidden="false" outlineLevel="0" max="6" min="6" style="1" width="34"/>
  </cols>
  <sheetData>
    <row r="1" customFormat="false" ht="17.25" hidden="false" customHeight="true" outlineLevel="0" collapsed="false">
      <c r="A1" s="2" t="s">
        <v>461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462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8" t="s">
        <v>398</v>
      </c>
      <c r="B4" s="8" t="s">
        <v>463</v>
      </c>
      <c r="C4" s="8" t="s">
        <v>464</v>
      </c>
      <c r="D4" s="8" t="s">
        <v>465</v>
      </c>
      <c r="E4" s="8" t="s">
        <v>466</v>
      </c>
      <c r="F4" s="8" t="s">
        <v>467</v>
      </c>
    </row>
    <row r="5" customFormat="false" ht="15" hidden="false" customHeight="true" outlineLevel="0" collapsed="false">
      <c r="A5" s="66" t="s">
        <v>468</v>
      </c>
      <c r="B5" s="66" t="s">
        <v>405</v>
      </c>
      <c r="C5" s="67" t="n">
        <v>221261151</v>
      </c>
      <c r="D5" s="32"/>
      <c r="E5" s="67" t="n">
        <f aca="false">D5-C5</f>
        <v>-221261151</v>
      </c>
      <c r="F5" s="32"/>
    </row>
    <row r="6" customFormat="false" ht="15" hidden="false" customHeight="true" outlineLevel="0" collapsed="false">
      <c r="A6" s="56"/>
      <c r="B6" s="56"/>
      <c r="C6" s="56"/>
      <c r="D6" s="56"/>
      <c r="E6" s="56"/>
      <c r="F6" s="56"/>
    </row>
    <row r="7" customFormat="false" ht="15" hidden="false" customHeight="true" outlineLevel="0" collapsed="false">
      <c r="A7" s="56"/>
      <c r="B7" s="56"/>
      <c r="C7" s="56"/>
      <c r="D7" s="56"/>
      <c r="E7" s="56"/>
      <c r="F7" s="56"/>
    </row>
    <row r="8" customFormat="false" ht="15" hidden="false" customHeight="true" outlineLevel="0" collapsed="false">
      <c r="A8" s="56"/>
      <c r="B8" s="56"/>
      <c r="C8" s="56"/>
      <c r="D8" s="56"/>
      <c r="E8" s="56"/>
      <c r="F8" s="56"/>
    </row>
    <row r="9" customFormat="false" ht="15" hidden="false" customHeight="true" outlineLevel="0" collapsed="false">
      <c r="A9" s="56"/>
      <c r="B9" s="56"/>
      <c r="C9" s="56"/>
      <c r="D9" s="56"/>
      <c r="E9" s="56"/>
      <c r="F9" s="56"/>
    </row>
    <row r="10" customFormat="false" ht="15" hidden="false" customHeight="true" outlineLevel="0" collapsed="false">
      <c r="A10" s="56"/>
      <c r="B10" s="56"/>
      <c r="C10" s="56"/>
      <c r="D10" s="56"/>
      <c r="E10" s="56"/>
      <c r="F10" s="56"/>
    </row>
    <row r="11" customFormat="false" ht="15" hidden="false" customHeight="true" outlineLevel="0" collapsed="false">
      <c r="A11" s="56"/>
      <c r="B11" s="56"/>
      <c r="C11" s="56"/>
      <c r="D11" s="56"/>
      <c r="E11" s="56"/>
      <c r="F11" s="56"/>
    </row>
    <row r="12" customFormat="false" ht="15" hidden="false" customHeight="true" outlineLevel="0" collapsed="false">
      <c r="A12" s="56"/>
      <c r="B12" s="56"/>
      <c r="C12" s="56"/>
      <c r="D12" s="56"/>
      <c r="E12" s="56"/>
      <c r="F12" s="5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18"/>
  </cols>
  <sheetData>
    <row r="1" customFormat="false" ht="17.25" hidden="false" customHeight="true" outlineLevel="0" collapsed="false">
      <c r="A1" s="2" t="s">
        <v>469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7.75" hidden="false" customHeight="true" outlineLevel="0" collapsed="false">
      <c r="A2" s="3" t="s">
        <v>470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0" hidden="false" customHeight="true" outlineLevel="0" collapsed="false">
      <c r="A4" s="8" t="s">
        <v>471</v>
      </c>
      <c r="B4" s="8" t="s">
        <v>472</v>
      </c>
      <c r="C4" s="8" t="s">
        <v>400</v>
      </c>
      <c r="D4" s="8" t="s">
        <v>473</v>
      </c>
      <c r="E4" s="8" t="s">
        <v>474</v>
      </c>
      <c r="F4" s="8" t="s">
        <v>475</v>
      </c>
      <c r="G4" s="8" t="s">
        <v>476</v>
      </c>
      <c r="H4" s="8" t="s">
        <v>477</v>
      </c>
      <c r="I4" s="8" t="s">
        <v>478</v>
      </c>
      <c r="J4" s="8" t="s">
        <v>479</v>
      </c>
      <c r="K4" s="8" t="s">
        <v>480</v>
      </c>
    </row>
    <row r="5" customFormat="false" ht="15" hidden="false" customHeight="true" outlineLevel="0" collapsed="false">
      <c r="A5" s="66" t="s">
        <v>481</v>
      </c>
      <c r="B5" s="32"/>
      <c r="C5" s="32"/>
      <c r="D5" s="66" t="s">
        <v>482</v>
      </c>
      <c r="E5" s="32"/>
      <c r="F5" s="32"/>
      <c r="G5" s="32"/>
      <c r="H5" s="32"/>
      <c r="I5" s="32"/>
      <c r="J5" s="66" t="s">
        <v>244</v>
      </c>
      <c r="K5" s="66" t="s">
        <v>483</v>
      </c>
    </row>
    <row r="6" customFormat="false" ht="15" hidden="false" customHeight="true" outlineLevel="0" collapsed="false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customFormat="false" ht="15" hidden="false" customHeight="true" outlineLevel="0" collapsed="false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</row>
    <row r="8" customFormat="false" ht="15" hidden="false" customHeight="true" outlineLevel="0" collapsed="false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</row>
    <row r="9" customFormat="false" ht="15" hidden="false" customHeight="true" outlineLevel="0" collapsed="false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</row>
    <row r="10" customFormat="false" ht="15" hidden="false" customHeight="true" outlineLevel="0" collapsed="false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customFormat="false" ht="15" hidden="false" customHeight="true" outlineLevel="0" collapsed="false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2026-07-22T07:29:46Z</dcterms:created>
  <dc:creator>openpyxl</dc:creator>
  <dc:description/>
  <dc:language>en-US</dc:language>
  <cp:lastModifiedBy/>
  <dcterms:modified xsi:type="dcterms:W3CDTF">2026-07-22T07:30:34Z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