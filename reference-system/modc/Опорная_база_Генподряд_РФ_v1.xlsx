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О_базе" sheetId="1" state="visible" r:id="rId3"/>
    <sheet name="Параметры_объект" sheetId="2" state="visible" r:id="rId4"/>
    <sheet name="1_Прайс_работ" sheetId="3" state="visible" r:id="rId5"/>
    <sheet name="2_Материалы" sheetId="4" state="visible" r:id="rId6"/>
    <sheet name="3_Оборуд_длинноцикл" sheetId="5" state="visible" r:id="rId7"/>
    <sheet name="4_Ставки_труда" sheetId="6" state="visible" r:id="rId8"/>
    <sheet name="5_Нормативы_выработки" sheetId="7" state="visible" r:id="rId9"/>
    <sheet name="6_Юнит_экономика" sheetId="8" state="visible" r:id="rId10"/>
    <sheet name="7_Алгоритмы" sheetId="9" state="visible" r:id="rId11"/>
    <sheet name="8_Нормбаза" sheetId="10" state="visible" r:id="rId12"/>
    <sheet name="9_Реестр_объектов" sheetId="11" state="visible" r:id="rId13"/>
    <sheet name="10_Уроки" sheetId="12" state="visible" r:id="rId14"/>
    <sheet name="11_Сверка_расчёт_факт" sheetId="13" state="visible" r:id="rId15"/>
    <sheet name="12_Поставщики_аналоги" sheetId="14" state="visible" r:id="rId16"/>
    <sheet name="13.2_ВКХ_очистные" sheetId="15" state="visible" r:id="rId17"/>
    <sheet name="13.1_Дороги_ИССО" sheetId="16" state="visible" r:id="rId18"/>
    <sheet name="13.3_Сети_ИТП" sheetId="17" state="visible" r:id="rId19"/>
    <sheet name="13.4_Промонтаж" sheetId="18" state="visible" r:id="rId20"/>
    <sheet name="13.5_Общестрой_КЖ" sheetId="19" state="visible" r:id="rId21"/>
    <sheet name="13.6_Энергетика" sheetId="20" state="visible" r:id="rId22"/>
    <sheet name="13.7_Благоустройство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<sst xmlns="http://schemas.openxmlformats.org/spreadsheetml/2006/main" count="772" uniqueCount="624">
  <si>
    <t xml:space="preserve">ОПОРНАЯ БАЗА ГЕНПОДРЯДА РФ · v1.0 — движок расчёта агента «Прохорыч» (СтройИнтеллект)</t>
  </si>
  <si>
    <t xml:space="preserve">Назначение</t>
  </si>
  <si>
    <t xml:space="preserve">База знаний для предпроектной и текущей оценки объектов генподряда. Каждая цифра — с источником, датой и статусом. Приоритет: промт &gt; эта база &gt; эталон Йошкар-Ола &gt; веб &gt; знания модели.</t>
  </si>
  <si>
    <t xml:space="preserve">Заказчик решения</t>
  </si>
  <si>
    <t xml:space="preserve">АО «МОДЦ» (ИНН 5024185328), дорожно-строительный генподряд, Московская обл.</t>
  </si>
  <si>
    <t xml:space="preserve">Источник наполнения v1</t>
  </si>
  <si>
    <t xml:space="preserve">Полный прогон ОСК г. Йошкар-Ола, 2 этап (НМЦК 4 002 854 177 ₽ с НДС 22%, 44-ФЗ, 36 мес). Приложения 1–4 + данные + ГПР.</t>
  </si>
  <si>
    <t xml:space="preserve">Дата сборки</t>
  </si>
  <si>
    <t xml:space="preserve">22.07.2026</t>
  </si>
  <si>
    <t xml:space="preserve">Правило статуса</t>
  </si>
  <si>
    <t xml:space="preserve">✅ ФАКТ (источник+дата+действует) · ⚠ ПРЕДПОЛОЖЕНИЕ (оценка) · ❌ НЕИЗВЕСТНОЕ (нужны данные). Всё старше 90 дней → ⚠ проверить.</t>
  </si>
  <si>
    <t xml:space="preserve">Цвет ячеек</t>
  </si>
  <si>
    <t xml:space="preserve">СИНИЙ = вход/лёвер (менять можно) · ЧЁРНЫЙ = формула/факт · ЗЕЛЁНЫЙ = ссылка на другой лист · ЖЁЛТАЯ заливка = ключевое допущение / заполнить.</t>
  </si>
  <si>
    <t xml:space="preserve">Домены (слоты 13.x)</t>
  </si>
  <si>
    <t xml:space="preserve">13.1 Дороги/ИССО (каркас) · 13.2 ВКХ/очистные (НАПОЛНЕН Йошкар-Олой) · 13.3 Сети/ИТП · 13.4 Промонтаж · 13.5 Общестрой/КЖ · 13.6 Энергетика · 13.7 Благоустройство.</t>
  </si>
  <si>
    <t xml:space="preserve">КАРТА ЛИСТОВ</t>
  </si>
  <si>
    <t xml:space="preserve">Лист</t>
  </si>
  <si>
    <t xml:space="preserve">Что внутри</t>
  </si>
  <si>
    <t xml:space="preserve">1. Прайс работ</t>
  </si>
  <si>
    <t xml:space="preserve">Rate card СМР по видам (земля/КЖ/монтаж/сети/дорога/ИССО), коэф. рыночности по регионам</t>
  </si>
  <si>
    <t xml:space="preserve">2. Материалы</t>
  </si>
  <si>
    <t xml:space="preserve">Металл, бетон/ЖБИ, трубы, кабель, инертные, битум/ПБВ, геосинтетика — цена, дата, плечо</t>
  </si>
  <si>
    <t xml:space="preserve">3. Оборудование-длинноцикл</t>
  </si>
  <si>
    <t xml:space="preserve">Ядро по доменам: цена, импорт/РФ-аналог, лид-тайм, пометка «под КП»</t>
  </si>
  <si>
    <t xml:space="preserve">4. Ставки труда</t>
  </si>
  <si>
    <t xml:space="preserve">Оклады ИТР и рабочих (мес с налогами) по ролям, +вахта</t>
  </si>
  <si>
    <t xml:space="preserve">5. Нормативы выработки</t>
  </si>
  <si>
    <t xml:space="preserve">Чел-ч/ед, коэффициенты (положение/толщина/температура)</t>
  </si>
  <si>
    <t xml:space="preserve">6. Юнит-экономика</t>
  </si>
  <si>
    <t xml:space="preserve">Структура себестоимости и косвенных генподряда, наценки, движок P&amp;L→EBT</t>
  </si>
  <si>
    <t xml:space="preserve">7. Алгоритмы</t>
  </si>
  <si>
    <t xml:space="preserve">Все формулы движка (ФОТ, сроки, сведение цены, деньги во времени)</t>
  </si>
  <si>
    <t xml:space="preserve">8. Нормбаза</t>
  </si>
  <si>
    <t xml:space="preserve">Документ → статус «действует/отменён» → актуальный аналог</t>
  </si>
  <si>
    <t xml:space="preserve">9. Реестр объектов</t>
  </si>
  <si>
    <t xml:space="preserve">Провенанс цифр (Йошкар-Ола и далее)</t>
  </si>
  <si>
    <t xml:space="preserve">10. Уроки</t>
  </si>
  <si>
    <t xml:space="preserve">Вшитые уроки предыдущих объектов</t>
  </si>
  <si>
    <t xml:space="preserve">11. Сверка расчёт-факт</t>
  </si>
  <si>
    <t xml:space="preserve">Заготовка под сверку оценки с пришедшими КП/счетами</t>
  </si>
  <si>
    <t xml:space="preserve">12. Поставщики / аналоги РФ</t>
  </si>
  <si>
    <t xml:space="preserve">Реестр поставщиков и карта импорт→РФ</t>
  </si>
  <si>
    <t xml:space="preserve">13.1 Дороги-ИССО</t>
  </si>
  <si>
    <t xml:space="preserve">Доменный слот (каркас под МОДЦ)</t>
  </si>
  <si>
    <t xml:space="preserve">13.2 ВКХ-очистные</t>
  </si>
  <si>
    <t xml:space="preserve">Доменный слот — НАПОЛНЕН фактурой Йошкар-Олы</t>
  </si>
  <si>
    <t xml:space="preserve">13.3 Сети-ИТП</t>
  </si>
  <si>
    <t xml:space="preserve">Доменный слот (каркас)</t>
  </si>
  <si>
    <t xml:space="preserve">13.4 Промонтаж</t>
  </si>
  <si>
    <t xml:space="preserve">13.5 Общестрой-КЖ</t>
  </si>
  <si>
    <t xml:space="preserve">13.6 Энергетика</t>
  </si>
  <si>
    <t xml:space="preserve">13.7 Благоустройство</t>
  </si>
  <si>
    <t xml:space="preserve">ПАРАМЕТРЫ ОБЪЕКТА — управляющий лист (синие ячейки = входы) · пример: ОСК Йошкар-Ола</t>
  </si>
  <si>
    <t xml:space="preserve">Легенда: синие ячейки (C) — редактируемые входы; меняешь → пересчёт по листам 6/7. Значения ниже — пример Йошкар-Олы.</t>
  </si>
  <si>
    <t xml:space="preserve">1. ОБЩИЕ ПАРАМЕТРЫ КОНТРАКТА</t>
  </si>
  <si>
    <t xml:space="preserve">#</t>
  </si>
  <si>
    <t xml:space="preserve">Параметр</t>
  </si>
  <si>
    <t xml:space="preserve">Значение</t>
  </si>
  <si>
    <t xml:space="preserve">Ед.</t>
  </si>
  <si>
    <t xml:space="preserve">Источник / статус</t>
  </si>
  <si>
    <t xml:space="preserve">НМЦК с НДС (выручка заказчика)</t>
  </si>
  <si>
    <t xml:space="preserve">₽</t>
  </si>
  <si>
    <t xml:space="preserve">✅ Конкурс 0108500000426003927, ЕИС</t>
  </si>
  <si>
    <t xml:space="preserve">Ставка НДС</t>
  </si>
  <si>
    <t xml:space="preserve">доля</t>
  </si>
  <si>
    <t xml:space="preserve">✅ 2026 г.</t>
  </si>
  <si>
    <t xml:space="preserve">Срок строительства</t>
  </si>
  <si>
    <t xml:space="preserve">мес</t>
  </si>
  <si>
    <t xml:space="preserve">✅ договор; ПОС 35,7≈36; норматив СНиП ≈30</t>
  </si>
  <si>
    <t xml:space="preserve">Налог на прибыль</t>
  </si>
  <si>
    <t xml:space="preserve">✅ 25% с 2025 (НК РФ)</t>
  </si>
  <si>
    <t xml:space="preserve">Гарантийное удержание (ГУ)</t>
  </si>
  <si>
    <t xml:space="preserve">✅ договор 4.12</t>
  </si>
  <si>
    <t xml:space="preserve">Аванс от заказчика</t>
  </si>
  <si>
    <t xml:space="preserve">✅ договор 2.8, гасится с каждого КС</t>
  </si>
  <si>
    <t xml:space="preserve">ОПР/ОХР холдинга</t>
  </si>
  <si>
    <t xml:space="preserve">⚠ % от выручки без НДС</t>
  </si>
  <si>
    <t xml:space="preserve">Ставка капитала (кредит/овердрафт)</t>
  </si>
  <si>
    <t xml:space="preserve">год</t>
  </si>
  <si>
    <t xml:space="preserve">⚠ для стоимости разрывов и ГУ</t>
  </si>
  <si>
    <t xml:space="preserve">2. СЕБЕСТОИМОСТЬ ПО СЛОЯМ (входы для финмодели)</t>
  </si>
  <si>
    <t xml:space="preserve">Слой себестоимости</t>
  </si>
  <si>
    <t xml:space="preserve">Себест., ₽</t>
  </si>
  <si>
    <t xml:space="preserve">Дельта к НМЦК / статус</t>
  </si>
  <si>
    <t xml:space="preserve">Материалы (рынок 2026)</t>
  </si>
  <si>
    <t xml:space="preserve">+242 млн, ✅ рынок ПФО (без НДС)</t>
  </si>
  <si>
    <t xml:space="preserve">Оборудование стандартное (−8%)</t>
  </si>
  <si>
    <t xml:space="preserve">+55,6 млн, ⚠ оценка (без НДС)</t>
  </si>
  <si>
    <t xml:space="preserve">Оборудование ИМПОРТНОЕ ЯДРО ТОП-20</t>
  </si>
  <si>
    <t xml:space="preserve">🔴 P=НМЦК-доля, дельта 0 · КП НЕТ (без НДС)</t>
  </si>
  <si>
    <t xml:space="preserve">СМР (работы+монтаж+ПНР+перевозки)</t>
  </si>
  <si>
    <t xml:space="preserve">+70,2 млн, ⚠ коэф.рыночн. (без НДС)</t>
  </si>
  <si>
    <t xml:space="preserve">Косвенные генподряда за срок (АХР/ВЗиС/городок/ИТР) — см. лист «6. Юнит-экономика»</t>
  </si>
  <si>
    <t xml:space="preserve">1 · ПРАЙС РАБОТ И КОЭФФИЦИЕНТ РЫНОЧНОСТИ СМР (коэф = рынок/смета; &lt;1 → маржа генподряда)</t>
  </si>
  <si>
    <t xml:space="preserve">Источник: Подрядный фон ОСК Йошкар-Ола (регион Марий Эл — дешёвый по труду). Коэф ⚠ калибровать под регион/профиль. Дельта = НМЦК×(1−коэф).</t>
  </si>
  <si>
    <t xml:space="preserve">Ключ ФЕР</t>
  </si>
  <si>
    <t xml:space="preserve">Группа работ</t>
  </si>
  <si>
    <t xml:space="preserve">Коэф рын.</t>
  </si>
  <si>
    <t xml:space="preserve">Логика / регион</t>
  </si>
  <si>
    <t xml:space="preserve">Позиций</t>
  </si>
  <si>
    <t xml:space="preserve">НМЦК, ₽</t>
  </si>
  <si>
    <t xml:space="preserve">Дельта, ₽</t>
  </si>
  <si>
    <t xml:space="preserve">ФЕР01</t>
  </si>
  <si>
    <t xml:space="preserve">Земляные работы</t>
  </si>
  <si>
    <t xml:space="preserve">Массовый фронт, своя техника, дешёвый труд</t>
  </si>
  <si>
    <t xml:space="preserve">ФЕР05</t>
  </si>
  <si>
    <t xml:space="preserve">Свайные работы</t>
  </si>
  <si>
    <t xml:space="preserve">Узкий фронт: техника из Казани</t>
  </si>
  <si>
    <t xml:space="preserve">ФЕР06</t>
  </si>
  <si>
    <t xml:space="preserve">Бетон/ж-б монолитные</t>
  </si>
  <si>
    <t xml:space="preserve">Много местных бригад, конкурентно</t>
  </si>
  <si>
    <t xml:space="preserve">ФЕР07</t>
  </si>
  <si>
    <t xml:space="preserve">Сборные ж-б конструкции</t>
  </si>
  <si>
    <t xml:space="preserve">Монтаж сборного ж/б</t>
  </si>
  <si>
    <t xml:space="preserve">ФЕР08</t>
  </si>
  <si>
    <t xml:space="preserve">Кирпич / блоки</t>
  </si>
  <si>
    <t xml:space="preserve">Каменные работы, конкурентно</t>
  </si>
  <si>
    <t xml:space="preserve">ФЕР09</t>
  </si>
  <si>
    <t xml:space="preserve">Металлоконструкции</t>
  </si>
  <si>
    <t xml:space="preserve">Изготовление/монтаж МК</t>
  </si>
  <si>
    <t xml:space="preserve">ФЕР10</t>
  </si>
  <si>
    <t xml:space="preserve">Деревянные конструкции</t>
  </si>
  <si>
    <t xml:space="preserve">Средняя маржа</t>
  </si>
  <si>
    <t xml:space="preserve">ФЕР11</t>
  </si>
  <si>
    <t xml:space="preserve">Полы</t>
  </si>
  <si>
    <t xml:space="preserve">Конкурентный фронт</t>
  </si>
  <si>
    <t xml:space="preserve">Монтаж</t>
  </si>
  <si>
    <t xml:space="preserve">Монтаж технол. оборуд./трубопроводов</t>
  </si>
  <si>
    <t xml:space="preserve">Узкий фронт — дисконт минимален</t>
  </si>
  <si>
    <t xml:space="preserve">ФЕРп</t>
  </si>
  <si>
    <t xml:space="preserve">ПНР (пусконаладка)</t>
  </si>
  <si>
    <t xml:space="preserve">Очень узкий фронт, мало исполнителей</t>
  </si>
  <si>
    <t xml:space="preserve">Перевозка</t>
  </si>
  <si>
    <t xml:space="preserve">Погрузка/перевозка грунта и мусора</t>
  </si>
  <si>
    <t xml:space="preserve">Местные перевозчики</t>
  </si>
  <si>
    <t xml:space="preserve">ИТОГО (выборка)</t>
  </si>
  <si>
    <t xml:space="preserve">Полный СМР-фронт ОСК: 4 626 позиций, НМЦК 409,4 млн ₽, суммарная дельта +70,2 млн (17,2%). Коэф рыночности ориентир 0,80–0,92.</t>
  </si>
  <si>
    <t xml:space="preserve">2 · МАТЕРИАЛЫ — рынок vs смета (k рынок = рынок/смета). Цена = DDP до склада. Транспортное плечо — отдельно</t>
  </si>
  <si>
    <t xml:space="preserve">Источник: Приложение 2 ОСК Йошкар-Ола (рынок 2026, радиус +500 км: Чебоксары ~90, Казань ~150 км). Металл/бетон дешевле базы 2023.</t>
  </si>
  <si>
    <t xml:space="preserve">Материал (якорь)</t>
  </si>
  <si>
    <t xml:space="preserve">Рынок 2026 (DDP)</t>
  </si>
  <si>
    <t xml:space="preserve">Смета 2 кв.2023</t>
  </si>
  <si>
    <t xml:space="preserve">k рынок</t>
  </si>
  <si>
    <t xml:space="preserve">Дата</t>
  </si>
  <si>
    <t xml:space="preserve">Статус</t>
  </si>
  <si>
    <t xml:space="preserve">Песок строительный</t>
  </si>
  <si>
    <t xml:space="preserve">м³</t>
  </si>
  <si>
    <t xml:space="preserve">06.2026</t>
  </si>
  <si>
    <t xml:space="preserve">✅ рынок ПФО</t>
  </si>
  <si>
    <t xml:space="preserve">Бетон В25 (гидротехн. W6/F200)</t>
  </si>
  <si>
    <t xml:space="preserve">Арматура А500С</t>
  </si>
  <si>
    <t xml:space="preserve">т</t>
  </si>
  <si>
    <t xml:space="preserve">Кабель АСБл силовой</t>
  </si>
  <si>
    <t xml:space="preserve">км</t>
  </si>
  <si>
    <t xml:space="preserve">≈ рынок</t>
  </si>
  <si>
    <t xml:space="preserve">выше рынка</t>
  </si>
  <si>
    <t xml:space="preserve">—</t>
  </si>
  <si>
    <t xml:space="preserve">⚠ проверить</t>
  </si>
  <si>
    <t xml:space="preserve">Минплита Rockwool</t>
  </si>
  <si>
    <t xml:space="preserve">✅</t>
  </si>
  <si>
    <t xml:space="preserve">Щебень фр. 20-40</t>
  </si>
  <si>
    <t xml:space="preserve">под КП</t>
  </si>
  <si>
    <t xml:space="preserve">❌ нужен КП+плечо</t>
  </si>
  <si>
    <t xml:space="preserve">Битум дорожный БНД</t>
  </si>
  <si>
    <t xml:space="preserve">под КП 🔴</t>
  </si>
  <si>
    <t xml:space="preserve">❌ КП — волатильность!</t>
  </si>
  <si>
    <t xml:space="preserve">Дельта материалов на объекте: +242 млн (себест. 217,1 vs НМЦК 459,1 млн, 3 672 позиции). Битум для дорог — главный ценовой риск (кейс Каранайаул +158%).</t>
  </si>
  <si>
    <t xml:space="preserve">3 · ОБОРУДОВАНИЕ-ДЛИННОЦИКЛ (ЯДРО ЗАТРАТ) — всегда «под КП». Топ-концентрации по объекту</t>
  </si>
  <si>
    <t xml:space="preserve">Импортное ядро ТОП-20 ОСК = 2,44 млрд (61% НМЦК, 78% оборуд.). Цену в себестоимость берём ТОЛЬКО из свежего КП. Лид-тайм фильтр/УФ 16–24 нед.</t>
  </si>
  <si>
    <t xml:space="preserve">Позиция</t>
  </si>
  <si>
    <t xml:space="preserve">Кол</t>
  </si>
  <si>
    <t xml:space="preserve">Импорт (бренд)</t>
  </si>
  <si>
    <t xml:space="preserve">РФ-аналог</t>
  </si>
  <si>
    <t xml:space="preserve">Лид-тайм</t>
  </si>
  <si>
    <t xml:space="preserve">Дисковый фильтр третичной очистки</t>
  </si>
  <si>
    <t xml:space="preserve">шт</t>
  </si>
  <si>
    <t xml:space="preserve">Alfa Laval / Hydrotech</t>
  </si>
  <si>
    <t xml:space="preserve">Экополимер, ИнСфера (сито TR)</t>
  </si>
  <si>
    <t xml:space="preserve">16–24 нед</t>
  </si>
  <si>
    <t xml:space="preserve">🔴 под КП+пилот</t>
  </si>
  <si>
    <t xml:space="preserve">УФ-станция обеззараживания</t>
  </si>
  <si>
    <t xml:space="preserve">компл</t>
  </si>
  <si>
    <t xml:space="preserve">Импорт. УФ-модули</t>
  </si>
  <si>
    <t xml:space="preserve">НПО ЛИТ (УДВ), Мелитта, ВОДГЕО</t>
  </si>
  <si>
    <t xml:space="preserve">Насос осевой пропеллерный Р-420</t>
  </si>
  <si>
    <t xml:space="preserve">Flygt (Xylem)</t>
  </si>
  <si>
    <t xml:space="preserve">ГМС Ливгидромаш, ЭНА</t>
  </si>
  <si>
    <t xml:space="preserve">10–16 нед</t>
  </si>
  <si>
    <t xml:space="preserve">🔴 под КП</t>
  </si>
  <si>
    <t xml:space="preserve">ШУ 35TCP</t>
  </si>
  <si>
    <t xml:space="preserve">импорт</t>
  </si>
  <si>
    <t xml:space="preserve">РФ шкафы управления</t>
  </si>
  <si>
    <t xml:space="preserve">8–12 нед</t>
  </si>
  <si>
    <t xml:space="preserve">Отстойник комплектной поставки</t>
  </si>
  <si>
    <t xml:space="preserve">ИнСфера, Аргель</t>
  </si>
  <si>
    <t xml:space="preserve">12–20 нед</t>
  </si>
  <si>
    <t xml:space="preserve">Отстойник комплектной поставки (2)</t>
  </si>
  <si>
    <t xml:space="preserve">Блочно-модульная котельная</t>
  </si>
  <si>
    <t xml:space="preserve">стандарт</t>
  </si>
  <si>
    <t xml:space="preserve">РФ БМК</t>
  </si>
  <si>
    <t xml:space="preserve">10–14 нед</t>
  </si>
  <si>
    <t xml:space="preserve">🟡 под КП</t>
  </si>
  <si>
    <t xml:space="preserve">Скребковая система песколовки</t>
  </si>
  <si>
    <t xml:space="preserve">Finnchain</t>
  </si>
  <si>
    <t xml:space="preserve">ИнСфера KURP (прямой)</t>
  </si>
  <si>
    <t xml:space="preserve">Решётка тонкой очистки</t>
  </si>
  <si>
    <t xml:space="preserve">ИнСфера Hydrig SR (прямой)</t>
  </si>
  <si>
    <t xml:space="preserve">КТП 1000 кВА</t>
  </si>
  <si>
    <t xml:space="preserve">Электрощит-Самара, КЭАЗ</t>
  </si>
  <si>
    <t xml:space="preserve">8–10 нед</t>
  </si>
  <si>
    <t xml:space="preserve">🟢 под КП</t>
  </si>
  <si>
    <t xml:space="preserve">Насос центробежный погружной Р-920</t>
  </si>
  <si>
    <t xml:space="preserve">Flygt</t>
  </si>
  <si>
    <t xml:space="preserve">ГМС, ЭНА</t>
  </si>
  <si>
    <t xml:space="preserve">ИТОГО топ-11 (из 20)</t>
  </si>
  <si>
    <t xml:space="preserve">4 · СТАВКИ ТРУДА — ИТР и рабочие генподряда (₽/мес с налогами). Пример: штат ГП ОСК (19 ИТР)</t>
  </si>
  <si>
    <t xml:space="preserve">Источник: АХР_Городок ОСК. Ставка = оклад×1,44 (страховые). Вахта/командировочные — отдельной статьёй. ⚠ калибровать под регион и год подачи.</t>
  </si>
  <si>
    <t xml:space="preserve">Роль</t>
  </si>
  <si>
    <t xml:space="preserve">₽/мес с налог.</t>
  </si>
  <si>
    <t xml:space="preserve">ФОТ на 36 мес, ₽</t>
  </si>
  <si>
    <t xml:space="preserve">Примечание</t>
  </si>
  <si>
    <t xml:space="preserve">Руководитель проекта (РП)</t>
  </si>
  <si>
    <t xml:space="preserve">ГИП / гл. инженер стройки</t>
  </si>
  <si>
    <t xml:space="preserve">Начальник участка (общестрой)</t>
  </si>
  <si>
    <t xml:space="preserve">Начальник участка (сети/технология)</t>
  </si>
  <si>
    <t xml:space="preserve">Производитель работ (прораб)</t>
  </si>
  <si>
    <t xml:space="preserve">Мастер СМР</t>
  </si>
  <si>
    <t xml:space="preserve">Начальник ПТО</t>
  </si>
  <si>
    <t xml:space="preserve">Инженер ПТО</t>
  </si>
  <si>
    <t xml:space="preserve">Геодезист</t>
  </si>
  <si>
    <t xml:space="preserve">Инженер ПОС / координатор</t>
  </si>
  <si>
    <t xml:space="preserve">Инженер снабжения</t>
  </si>
  <si>
    <t xml:space="preserve">Инженер ОТ/ПБ/экология</t>
  </si>
  <si>
    <t xml:space="preserve">Сметчик / инженер КС-2</t>
  </si>
  <si>
    <t xml:space="preserve">Кладовщик</t>
  </si>
  <si>
    <t xml:space="preserve">Рабочий свой (электрик/плотник/сварщик НАКС)</t>
  </si>
  <si>
    <t xml:space="preserve">ИТОГО ФОТ на срок</t>
  </si>
  <si>
    <t xml:space="preserve">Командировочные (80% штата иногородние): аренда квартир 35 000 ₽/мес (2 чел/кв), суточные 700 ₽/день, заезд домой 6 000 ₽ ×11/год.</t>
  </si>
  <si>
    <t xml:space="preserve">5 · НОРМАТИВЫ ВЫРАБОТКИ И КОЭФФИЦИЕНТЫ (⚠ ориентиры, калибровать под объект)</t>
  </si>
  <si>
    <t xml:space="preserve">Операция / коэффициент</t>
  </si>
  <si>
    <t xml:space="preserve">Источник</t>
  </si>
  <si>
    <t xml:space="preserve">Выработка: тяжёлые МК</t>
  </si>
  <si>
    <t xml:space="preserve">0,8</t>
  </si>
  <si>
    <t xml:space="preserve">т/чел·день</t>
  </si>
  <si>
    <t xml:space="preserve">канон монтаж</t>
  </si>
  <si>
    <t xml:space="preserve">⚠</t>
  </si>
  <si>
    <t xml:space="preserve">Выработка: вентиляция</t>
  </si>
  <si>
    <t xml:space="preserve">5,0</t>
  </si>
  <si>
    <t xml:space="preserve">Выработка: электромонтаж</t>
  </si>
  <si>
    <t xml:space="preserve">0,89</t>
  </si>
  <si>
    <t xml:space="preserve">Выработка: бетон КЖ</t>
  </si>
  <si>
    <t xml:space="preserve">0,65</t>
  </si>
  <si>
    <t xml:space="preserve">м³/чел·день</t>
  </si>
  <si>
    <t xml:space="preserve">канон</t>
  </si>
  <si>
    <t xml:space="preserve">Трудозатраты: трубопровод</t>
  </si>
  <si>
    <t xml:space="preserve">≈10</t>
  </si>
  <si>
    <t xml:space="preserve">чел-ч/т</t>
  </si>
  <si>
    <t xml:space="preserve">Трудозатраты: сварка</t>
  </si>
  <si>
    <t xml:space="preserve">≈1</t>
  </si>
  <si>
    <t xml:space="preserve">чел-ч/м шва</t>
  </si>
  <si>
    <t xml:space="preserve">Коэф. положения (проектное/верт.)</t>
  </si>
  <si>
    <t xml:space="preserve">×1,45</t>
  </si>
  <si>
    <t xml:space="preserve">к горизонту</t>
  </si>
  <si>
    <t xml:space="preserve">канон промонтаж</t>
  </si>
  <si>
    <t xml:space="preserve">Коэф. толщины стенки 33→52 мм (ОПР)</t>
  </si>
  <si>
    <t xml:space="preserve">×1,57</t>
  </si>
  <si>
    <t xml:space="preserve">Коэф. толщины 33→52 мм (электроды)</t>
  </si>
  <si>
    <t xml:space="preserve">×2,56</t>
  </si>
  <si>
    <t xml:space="preserve">Коэф. температуры (ниже −30°C)</t>
  </si>
  <si>
    <t xml:space="preserve">до ×1,4</t>
  </si>
  <si>
    <t xml:space="preserve">ВСН 416-81</t>
  </si>
  <si>
    <t xml:space="preserve">Дни ИТР к производственным</t>
  </si>
  <si>
    <t xml:space="preserve">×1,3</t>
  </si>
  <si>
    <t xml:space="preserve">движок</t>
  </si>
  <si>
    <t xml:space="preserve">Ставка с налогами: оклад</t>
  </si>
  <si>
    <t xml:space="preserve">×1,44</t>
  </si>
  <si>
    <t xml:space="preserve">страховые ~30%+НДФЛ</t>
  </si>
  <si>
    <t xml:space="preserve">Ставка с налогами: сдельные</t>
  </si>
  <si>
    <t xml:space="preserve">×1,2</t>
  </si>
  <si>
    <t xml:space="preserve">6 · ЮНИТ-ЭКОНОМИКА — движок P&amp;L генподряда до EBT (тянет входы из «Параметры_объект»)</t>
  </si>
  <si>
    <t xml:space="preserve">Себестоимость снизу вверх: прямые слои → GM1 → минус косвенные за срок → минус деньги во времени = EBT. Налог — отдельным слоем. Пример: Йошкар-Ола, база 36 мес.</t>
  </si>
  <si>
    <t xml:space="preserve">A. КОСВЕННЫЕ ГЕНПОДРЯДА ЗА СРОК (структура АХР/ВЗиС/городок)</t>
  </si>
  <si>
    <t xml:space="preserve">Статья косвенных</t>
  </si>
  <si>
    <t xml:space="preserve">Сумма, ₽</t>
  </si>
  <si>
    <t xml:space="preserve">Тип</t>
  </si>
  <si>
    <t xml:space="preserve">Комментарий</t>
  </si>
  <si>
    <t xml:space="preserve">Доля НМЦК</t>
  </si>
  <si>
    <t xml:space="preserve">ВЗиС (ограждение, времянки, дороги, склады)</t>
  </si>
  <si>
    <t xml:space="preserve">единовр.</t>
  </si>
  <si>
    <t xml:space="preserve">Раздел 1 АХР ОСК</t>
  </si>
  <si>
    <t xml:space="preserve">Городок и оргтехника (штаб, бытовки, ПК)</t>
  </si>
  <si>
    <t xml:space="preserve">Раздел 2 АХР ОСК</t>
  </si>
  <si>
    <t xml:space="preserve">ФОТ ИТР (19 чел × 36 мес)</t>
  </si>
  <si>
    <t xml:space="preserve">за срок</t>
  </si>
  <si>
    <t xml:space="preserve">Раздел 3 → лист 4</t>
  </si>
  <si>
    <t xml:space="preserve">Командировочные ИТР (80% иногородние)</t>
  </si>
  <si>
    <t xml:space="preserve">Раздел 4 АХР ОСК</t>
  </si>
  <si>
    <t xml:space="preserve">Свои рабочие ГП (3 чел + инструмент)</t>
  </si>
  <si>
    <t xml:space="preserve">Раздел 5 АХР ОСК</t>
  </si>
  <si>
    <t xml:space="preserve">Содержание площадки (охрана/ТКО/питание/водопониж.)</t>
  </si>
  <si>
    <t xml:space="preserve">помесячно</t>
  </si>
  <si>
    <t xml:space="preserve">Раздел 6 АХР ОСК</t>
  </si>
  <si>
    <t xml:space="preserve">ИТОГО КОСВЕННЫЕ (АХР+ВЗиС+городок+ИТР)</t>
  </si>
  <si>
    <t xml:space="preserve">B. P&amp;L ОБЪЕКТА → EBT (база; входы из «Параметры_объект»)</t>
  </si>
  <si>
    <t xml:space="preserve">Показатель</t>
  </si>
  <si>
    <t xml:space="preserve">% НМЦК</t>
  </si>
  <si>
    <t xml:space="preserve">НМЦК с НДС</t>
  </si>
  <si>
    <t xml:space="preserve">минус НДС к уплате</t>
  </si>
  <si>
    <t xml:space="preserve">ВЫРУЧКА БЕЗ НДС (рабочая база)</t>
  </si>
  <si>
    <t xml:space="preserve">− Материалы (рынок)</t>
  </si>
  <si>
    <t xml:space="preserve">− Оборудование стандартное</t>
  </si>
  <si>
    <t xml:space="preserve">− Оборудование импортное ядро 🔴</t>
  </si>
  <si>
    <t xml:space="preserve">− СМР (работы+монтаж+ПНР+перевозки)</t>
  </si>
  <si>
    <t xml:space="preserve">ИТОГО ВАЛОВАЯ МАРЖА (GM1)</t>
  </si>
  <si>
    <t xml:space="preserve">− Косвенные генподряда за срок</t>
  </si>
  <si>
    <t xml:space="preserve">− ОПР/ОХР холдинга (2%)</t>
  </si>
  <si>
    <t xml:space="preserve">− Стоимость ГУ 5% (заморозка ~0,8 года)</t>
  </si>
  <si>
    <t xml:space="preserve">− Стоимость кассовых разрывов ⚠</t>
  </si>
  <si>
    <t xml:space="preserve">ИТОГО EBT (прибыль до налога)</t>
  </si>
  <si>
    <t xml:space="preserve">Проверка: EBT базы Йошкар-Олы ≈ −42,8 млн ₽ (−1,1% НМЦК). Плюс появляется только из рычагов (лист «6» ниже / Карта рычагов в записке).</t>
  </si>
  <si>
    <t xml:space="preserve">C. КАРТА РЫЧАГОВ — водопад от базового EBT (эффект каждого в ₽)</t>
  </si>
  <si>
    <t xml:space="preserve">Рычаг</t>
  </si>
  <si>
    <t xml:space="preserve">Эффект, ₽</t>
  </si>
  <si>
    <t xml:space="preserve">Основание</t>
  </si>
  <si>
    <t xml:space="preserve">Базовый EBT (36 мес, до рычагов)</t>
  </si>
  <si>
    <t xml:space="preserve">исходная точка</t>
  </si>
  <si>
    <t xml:space="preserve">Импортное ядро −10% (КП/импортозамещение)</t>
  </si>
  <si>
    <t xml:space="preserve">ст.710 ГК + ПТР</t>
  </si>
  <si>
    <t xml:space="preserve">🔴 КП нет</t>
  </si>
  <si>
    <t xml:space="preserve">Коллизии 1–9 → ДС по ст. 95 44-ФЗ</t>
  </si>
  <si>
    <t xml:space="preserve">ст.95, лимит +10%</t>
  </si>
  <si>
    <t xml:space="preserve">🟡 согласие заказчика</t>
  </si>
  <si>
    <t xml:space="preserve">Сжатие срока 36→30 мес (−косвенные)</t>
  </si>
  <si>
    <t xml:space="preserve">СНиП 1.04.03-85*</t>
  </si>
  <si>
    <t xml:space="preserve">🟡 переговоры</t>
  </si>
  <si>
    <t xml:space="preserve">Замена ГУ 5% на банковскую гарантию</t>
  </si>
  <si>
    <t xml:space="preserve">ст.96 ч.30 44-ФЗ</t>
  </si>
  <si>
    <t xml:space="preserve">🟢 право</t>
  </si>
  <si>
    <t xml:space="preserve">СМР: доп. дисконт (свои силы, торг)</t>
  </si>
  <si>
    <t xml:space="preserve">сверх +70 млн</t>
  </si>
  <si>
    <t xml:space="preserve">🟡 торг</t>
  </si>
  <si>
    <t xml:space="preserve">Снижение кассовых разрывов (аванс+b2b)</t>
  </si>
  <si>
    <t xml:space="preserve">финдисциплина</t>
  </si>
  <si>
    <t xml:space="preserve">🟢</t>
  </si>
  <si>
    <t xml:space="preserve">ИТОГО EBT ПОСЛЕ РЫЧАГОВ (оптимум)</t>
  </si>
  <si>
    <t xml:space="preserve">≈ 9,3% НМЦК</t>
  </si>
  <si>
    <t xml:space="preserve">🎯</t>
  </si>
  <si>
    <t xml:space="preserve">ЧЕСТНЫЙ ПОТОЛОК: цель «25% с НМЦК» (≈1,0 млрд) легально недостижима. Реалистичный оптимум +370 млн (9,3%). Не приукрашивать.</t>
  </si>
  <si>
    <t xml:space="preserve">7 · АЛГОРИТМЫ ДВИЖКА (формулы — применимы и в режиме [БЕЗ БАЗЫ])</t>
  </si>
  <si>
    <t xml:space="preserve">ФОТ по роли</t>
  </si>
  <si>
    <t xml:space="preserve">ставка/день = оклад_мес ÷ 30; с налогами = ×1,44 (оклад) / ×1,2 (сдельные); ФОТ = ставка × кол-во × дней; дни ИТР = произв.×1,3</t>
  </si>
  <si>
    <t xml:space="preserve">Сроки / бригады</t>
  </si>
  <si>
    <t xml:space="preserve">дни = объём ÷ (выработка × бригада). Нормативный срок — пересчёт по СНиП 1.04.03-85* (интерполяция) как независимая опора</t>
  </si>
  <si>
    <t xml:space="preserve">Себестоимость → EBT</t>
  </si>
  <si>
    <t xml:space="preserve">прямые (мат+оборуд.станд+ЯДРО+СМР+ПНР+перевозки) → GM1 − косвенные за срок − ОПР/ОХР − стоимость денег (ГУ/БГ/разрывы) = EBT. Налог отдельным слоем</t>
  </si>
  <si>
    <t xml:space="preserve">Сведение цены 44-ФЗ</t>
  </si>
  <si>
    <t xml:space="preserve">база ФСНБ-2022 → ×индекс факт. инфляции → ×индекс прогнозной (бленд по годам) → +непредвид.2% → ×доведение до лимита → ×(1+НДС) = НМЦК. Эталон совокупно ×1,629</t>
  </si>
  <si>
    <t xml:space="preserve">Стоимость ГУ</t>
  </si>
  <si>
    <t xml:space="preserve">Стоимость ГУ = сумма ГУ × ставка капитала × срок заморозки. Замена на БГ: экономия = стоимость ГУ − (сумма × 1,5%/год × срок)</t>
  </si>
  <si>
    <t xml:space="preserve">Эффект концентрации</t>
  </si>
  <si>
    <t xml:space="preserve">найти ядро (топ-20). Каждые −5% цены ядра = ядро×0,05 к EBT (эталон: 2,44 млрд ×5% ≈ +122 млн)</t>
  </si>
  <si>
    <t xml:space="preserve">Коэф. рыночности СМР</t>
  </si>
  <si>
    <t xml:space="preserve">дельта = НМЦК_группы × (1 − коэф); коэф 0,80–0,92 по группам работ (лист 1)</t>
  </si>
  <si>
    <t xml:space="preserve">Деньги во времени</t>
  </si>
  <si>
    <t xml:space="preserve">аванс гасится с каждого КС; казначейское сопровождение → БДДС по годам; пеня = сумма × (1/300 × ключевая ставка) в ₽/день</t>
  </si>
  <si>
    <t xml:space="preserve">8 · НОРМБАЗА — документ → статус «действует / отменён» → актуальный аналог (проверять на дату!)</t>
  </si>
  <si>
    <t xml:space="preserve">Документ</t>
  </si>
  <si>
    <t xml:space="preserve">Актуальный аналог / примечание</t>
  </si>
  <si>
    <t xml:space="preserve">Область</t>
  </si>
  <si>
    <t xml:space="preserve">РД-11-02-2006</t>
  </si>
  <si>
    <t xml:space="preserve">❌ отменён</t>
  </si>
  <si>
    <t xml:space="preserve">Приказ Минстроя № 344/пр (ред. 23.06.2025)</t>
  </si>
  <si>
    <t xml:space="preserve">ИД, АОСР</t>
  </si>
  <si>
    <t xml:space="preserve">РД-11-05-2007</t>
  </si>
  <si>
    <t xml:space="preserve">ОЖР — Приказ № 1026/пр</t>
  </si>
  <si>
    <t xml:space="preserve">журнал работ</t>
  </si>
  <si>
    <t xml:space="preserve">ПП 815</t>
  </si>
  <si>
    <t xml:space="preserve">❌ отменено с 01.09.2024</t>
  </si>
  <si>
    <t xml:space="preserve">проверить актуальный механизм обязательности СП</t>
  </si>
  <si>
    <t xml:space="preserve">обяз. перечни</t>
  </si>
  <si>
    <t xml:space="preserve">СП 5.13130.2009</t>
  </si>
  <si>
    <t xml:space="preserve">СП 484/485/486.1311500.2020</t>
  </si>
  <si>
    <t xml:space="preserve">АУПС/АУПТ</t>
  </si>
  <si>
    <t xml:space="preserve">СНиП 3.05.03-85</t>
  </si>
  <si>
    <t xml:space="preserve">❌ устарел</t>
  </si>
  <si>
    <t xml:space="preserve">СП 74.13330.2023</t>
  </si>
  <si>
    <t xml:space="preserve">теплосети</t>
  </si>
  <si>
    <t xml:space="preserve">СНиП 21-01-97*</t>
  </si>
  <si>
    <t xml:space="preserve">ФЗ-123 + СП 2.13130.2020</t>
  </si>
  <si>
    <t xml:space="preserve">пожарная</t>
  </si>
  <si>
    <t xml:space="preserve">⚠ применяется как опора</t>
  </si>
  <si>
    <t xml:space="preserve">пересчёт нормативного срока строительства (интерполяция)</t>
  </si>
  <si>
    <t xml:space="preserve">сроки</t>
  </si>
  <si>
    <t xml:space="preserve">СП 34.13330</t>
  </si>
  <si>
    <t xml:space="preserve">✅ проверить ред.</t>
  </si>
  <si>
    <t xml:space="preserve">автомобильные дороги</t>
  </si>
  <si>
    <t xml:space="preserve">дороги</t>
  </si>
  <si>
    <t xml:space="preserve">СП 78.13330</t>
  </si>
  <si>
    <t xml:space="preserve">производство работ по дорогам</t>
  </si>
  <si>
    <t xml:space="preserve">ГОСТ Р 58406.x</t>
  </si>
  <si>
    <t xml:space="preserve">асфальтобетонные смеси</t>
  </si>
  <si>
    <t xml:space="preserve">СП 32.13330 / 31.13330</t>
  </si>
  <si>
    <t xml:space="preserve">канализация / водоснабжение</t>
  </si>
  <si>
    <t xml:space="preserve">ВКХ</t>
  </si>
  <si>
    <t xml:space="preserve">ИТС НДТ 10-2019</t>
  </si>
  <si>
    <t xml:space="preserve">очистка сточных вод</t>
  </si>
  <si>
    <t xml:space="preserve">НДС</t>
  </si>
  <si>
    <t xml:space="preserve">✅ 22% с 01.01.2026</t>
  </si>
  <si>
    <t xml:space="preserve">до того 20%; спецрежим поставщика 5%; тип заказчика важен</t>
  </si>
  <si>
    <t xml:space="preserve">финансы</t>
  </si>
  <si>
    <t xml:space="preserve">44-ФЗ ст.95 / 96 ч.30 / 31 / 83.2</t>
  </si>
  <si>
    <t xml:space="preserve">✅ действует</t>
  </si>
  <si>
    <t xml:space="preserve">изменение ±10% / замена обеспеч. / РНП / протокол разногл.</t>
  </si>
  <si>
    <t xml:space="preserve">закупки</t>
  </si>
  <si>
    <t xml:space="preserve">ГК РФ ст.709/710/716/719/743/741</t>
  </si>
  <si>
    <t xml:space="preserve">твёрдая цена / экономия / приостановка / объёмы / риск</t>
  </si>
  <si>
    <t xml:space="preserve">право</t>
  </si>
  <si>
    <t xml:space="preserve">9 · РЕЕСТР ОБЪЕКТОВ — провенанс цифр базы</t>
  </si>
  <si>
    <t xml:space="preserve">ID</t>
  </si>
  <si>
    <t xml:space="preserve">Объект</t>
  </si>
  <si>
    <t xml:space="preserve">Домен</t>
  </si>
  <si>
    <t xml:space="preserve">НМЦК/сумма</t>
  </si>
  <si>
    <t xml:space="preserve">Год</t>
  </si>
  <si>
    <t xml:space="preserve">Что дал базе</t>
  </si>
  <si>
    <t xml:space="preserve">SI-2026-ОСК-ЙО</t>
  </si>
  <si>
    <t xml:space="preserve">ОСК Йошкар-Ола, 2 этап</t>
  </si>
  <si>
    <t xml:space="preserve">генподряд</t>
  </si>
  <si>
    <t xml:space="preserve">2026</t>
  </si>
  <si>
    <t xml:space="preserve">Косвенные, слои себест., финмодель, коллизии, аналоги, рыночность СМР</t>
  </si>
  <si>
    <t xml:space="preserve">(кейс) Каранайаул</t>
  </si>
  <si>
    <t xml:space="preserve">Дорога, Дагестан</t>
  </si>
  <si>
    <t xml:space="preserve">Дороги</t>
  </si>
  <si>
    <t xml:space="preserve">2025</t>
  </si>
  <si>
    <t xml:space="preserve">Битум +158% к смете — риск маржи (пример)</t>
  </si>
  <si>
    <t xml:space="preserve">(кейс) Школа №19</t>
  </si>
  <si>
    <t xml:space="preserve">Школа, Москва</t>
  </si>
  <si>
    <t xml:space="preserve">Общестрой</t>
  </si>
  <si>
    <t xml:space="preserve">Кассовый разрыв за 13 мес; ГУ 5%=101 млн (пример)</t>
  </si>
  <si>
    <t xml:space="preserve">10 · УРОКИ — вшиты в стандарт работы агента</t>
  </si>
  <si>
    <t xml:space="preserve">Косвенные съедают валовую</t>
  </si>
  <si>
    <t xml:space="preserve">На объекте 4 млрд/36 мес валовая 301,6 млн &lt; косвенные 344 млн → база убыточна. Считать косвенные помесячно × срок ВСЕГДА, доводить до EBT</t>
  </si>
  <si>
    <t xml:space="preserve">Ядро без КП = иллюзия</t>
  </si>
  <si>
    <t xml:space="preserve">61% бюджета (2,44 млрд) без живого КП — итоговая сумма это коридор, не цифра. КП по топ-6 в первые 10 дней</t>
  </si>
  <si>
    <t xml:space="preserve">Коллизии РД↔смета</t>
  </si>
  <si>
    <t xml:space="preserve">9 недоборов = 60,3 млн убытка при твёрдой цене, если не оформить ДС по ст.95. Задвоение (водослив +8,7 млн) — риск ФАС, экономику не строить</t>
  </si>
  <si>
    <t xml:space="preserve">Срок в ПОС врёт</t>
  </si>
  <si>
    <t xml:space="preserve">Арифм. ошибка ПОС: 32 vs 26 мес по формуле; норматив СНиП ≈30; договор 36 → резерв сжатия +39 млн. Пересчитывать срок независимо</t>
  </si>
  <si>
    <t xml:space="preserve">Сходимость сметы</t>
  </si>
  <si>
    <t xml:space="preserve">Сумма ЛСР = свод до рубля (урок Каранайаула: ЛСР выпала на 3,5 млн). Разошлось → искать выпавшую позицию, не перекрывать</t>
  </si>
  <si>
    <t xml:space="preserve">Синтетическая цена промахивается</t>
  </si>
  <si>
    <t xml:space="preserve">Цена «по классу» на тяжёлом оборудовании мимо в 2–11× (Урок-Марина). Тяжёлое/длинноцикл — только под живое КП</t>
  </si>
  <si>
    <t xml:space="preserve">Цена гуляет по каналам</t>
  </si>
  <si>
    <t xml:space="preserve">Одна позиция: 10–35% между каналами, до 6× между спецификациями (Урок-Канал). Твёрдая цена = поздняя комплектная выборка + КП</t>
  </si>
  <si>
    <t xml:space="preserve">Тип заказчика — первым</t>
  </si>
  <si>
    <t xml:space="preserve">44-ФЗ/223 → ГУ/БГ/казначейство/НДС; коммерция → ГК РФ. Определять на Шаге 0 — меняет весь контур</t>
  </si>
  <si>
    <t xml:space="preserve">Битум — риск дорог №1</t>
  </si>
  <si>
    <t xml:space="preserve">Волатильность цены битума (кейс +158%) ловить ДО подписания, а не на укладке</t>
  </si>
  <si>
    <t xml:space="preserve">РНП-гейт (для МОДЦ)</t>
  </si>
  <si>
    <t xml:space="preserve">Компания в РНП не проходит ст.31 44-ФЗ. Проверять допуск ДО оценки тендера, называть прямо</t>
  </si>
  <si>
    <t xml:space="preserve">11 · СВЕРКА РАСЧЁТ vs ФАКТ — заполняется по мере прихода живых КП/счетов</t>
  </si>
  <si>
    <t xml:space="preserve">Пример-строка ниже показывает формат. Когда приходит КП — вносишь цену B, база пересчитывает Δ. Живой КП всегда бьёт оценку.</t>
  </si>
  <si>
    <t xml:space="preserve">Ед</t>
  </si>
  <si>
    <t xml:space="preserve">Цена A (оценка)</t>
  </si>
  <si>
    <t xml:space="preserve">Ист. A</t>
  </si>
  <si>
    <t xml:space="preserve">Цена B (факт/КП)</t>
  </si>
  <si>
    <t xml:space="preserve">Ист. B</t>
  </si>
  <si>
    <t xml:space="preserve">Δ ₽/ед</t>
  </si>
  <si>
    <t xml:space="preserve">Δ %</t>
  </si>
  <si>
    <t xml:space="preserve">Кол-во</t>
  </si>
  <si>
    <t xml:space="preserve">(пример) Насос Р-420</t>
  </si>
  <si>
    <t xml:space="preserve">НМЦК оценка</t>
  </si>
  <si>
    <t xml:space="preserve">ждём КП</t>
  </si>
  <si>
    <t xml:space="preserve">12 · ПОСТАВЩИКИ И КАРТА ИМПОРТ → РФ-АНАЛОГ (по группам; ⚠ до живых КП)</t>
  </si>
  <si>
    <t xml:space="preserve">Группа / позиция</t>
  </si>
  <si>
    <t xml:space="preserve">РФ-аналог (производители)</t>
  </si>
  <si>
    <t xml:space="preserve">Экономия ₽</t>
  </si>
  <si>
    <t xml:space="preserve">Экон.%</t>
  </si>
  <si>
    <t xml:space="preserve">Приор.</t>
  </si>
  <si>
    <t xml:space="preserve">Дисковый фильтр 3-й очистки</t>
  </si>
  <si>
    <t xml:space="preserve">Alfa Laval</t>
  </si>
  <si>
    <t xml:space="preserve">78,5–117,8 млн</t>
  </si>
  <si>
    <t xml:space="preserve">10–15%</t>
  </si>
  <si>
    <t xml:space="preserve">🔴1</t>
  </si>
  <si>
    <t xml:space="preserve">80,1–120,1 млн</t>
  </si>
  <si>
    <t xml:space="preserve">12–18%</t>
  </si>
  <si>
    <t xml:space="preserve">🔴2</t>
  </si>
  <si>
    <t xml:space="preserve">Насосы осевые/погружные (18)</t>
  </si>
  <si>
    <t xml:space="preserve">Flygt, BBA</t>
  </si>
  <si>
    <t xml:space="preserve">ГМС Ливгидромаш, ЭНА, Гидромашсервис</t>
  </si>
  <si>
    <t xml:space="preserve">32,9–59,3 млн</t>
  </si>
  <si>
    <t xml:space="preserve">10–18%</t>
  </si>
  <si>
    <t xml:space="preserve">🔴3</t>
  </si>
  <si>
    <t xml:space="preserve">Затворы/шиберы, ШУ (54)</t>
  </si>
  <si>
    <t xml:space="preserve">Ротор, Экотон, ИнСфера</t>
  </si>
  <si>
    <t xml:space="preserve">25,4–38,1 млн</t>
  </si>
  <si>
    <t xml:space="preserve">🟡4</t>
  </si>
  <si>
    <t xml:space="preserve">Отстойники / илоскрёбы</t>
  </si>
  <si>
    <t xml:space="preserve">ИнСфера, Аргель, Техносфера-Центр</t>
  </si>
  <si>
    <t xml:space="preserve">16,9–25,3 млн</t>
  </si>
  <si>
    <t xml:space="preserve">🟡5</t>
  </si>
  <si>
    <t xml:space="preserve">Решётки грубой/тонкой очистки (5)</t>
  </si>
  <si>
    <t xml:space="preserve">ИнСфера Hydrig RG/RGK/SR (прямой)</t>
  </si>
  <si>
    <t xml:space="preserve">13,6–20,4 млн</t>
  </si>
  <si>
    <t xml:space="preserve">20–30%</t>
  </si>
  <si>
    <t xml:space="preserve">🟡8</t>
  </si>
  <si>
    <t xml:space="preserve">Песколовки/скребковые системы</t>
  </si>
  <si>
    <t xml:space="preserve">ИнСфера KURP, Экотон (прямой)</t>
  </si>
  <si>
    <t xml:space="preserve">12,2–18,3 млн</t>
  </si>
  <si>
    <t xml:space="preserve">🟡9</t>
  </si>
  <si>
    <t xml:space="preserve">Трубы GRP DN1500 (6)</t>
  </si>
  <si>
    <t xml:space="preserve">импорт GRP</t>
  </si>
  <si>
    <t xml:space="preserve">Стеклопластик Казань (~150 км), Гидрокор</t>
  </si>
  <si>
    <t xml:space="preserve">6,1–9,2 млн</t>
  </si>
  <si>
    <t xml:space="preserve">🟢10</t>
  </si>
  <si>
    <t xml:space="preserve">КТП/котельная/воздуходувки+прочее</t>
  </si>
  <si>
    <t xml:space="preserve">смеш.</t>
  </si>
  <si>
    <t xml:space="preserve">Прямые РФ + ИнСфера комплектно</t>
  </si>
  <si>
    <t xml:space="preserve">39–74 млн</t>
  </si>
  <si>
    <t xml:space="preserve">5–10%</t>
  </si>
  <si>
    <t xml:space="preserve">🔵</t>
  </si>
  <si>
    <t xml:space="preserve">ИТОГО ПОТЕНЦИАЛ (замена импорта на РФ)</t>
  </si>
  <si>
    <t xml:space="preserve">304–481 млн</t>
  </si>
  <si>
    <t xml:space="preserve">Легализация: перепроектирование (проектный институт) + согласование + повторная экспертиза 1,5–4 мес → ПТР (ст.710 ГК) → КП РФ + верификация «офис≠производство».</t>
  </si>
  <si>
    <t xml:space="preserve">13.2 · ДОМЕН ВКХ / ОЧИСТНЫЕ — наполнен фактурой Йошкар-Олы (эталонный домен)</t>
  </si>
  <si>
    <t xml:space="preserve">Центр тяжести бюджета</t>
  </si>
  <si>
    <t xml:space="preserve">Технологическое ОБОРУДОВАНИЕ 60–87% денег. На ОСК: оборуд. 87% фронта снабжения, импортное ядро 78% оборуд. = 2,44 млрд = 61% НМЦК</t>
  </si>
  <si>
    <t xml:space="preserve">Техпроцесс ОСК</t>
  </si>
  <si>
    <t xml:space="preserve">приёмная камера → механика (решётки → песколовки → первичные отстойники) → биология (аэротенки → вторичные отстойники) → доочистка (дисковые фильтры) → УФ → обработка осадка (обезвоживание)</t>
  </si>
  <si>
    <t xml:space="preserve">Балансы (обязаны сходиться)</t>
  </si>
  <si>
    <t xml:space="preserve">приток Q (м³/сут и пиковый м³/ч) → нагрузки БПК/ХПК/взвеш./N/P → выход на НОРМАТИВ (рыбхоз/СанПиН). Классика: насос не бьётся с пиковым расходом</t>
  </si>
  <si>
    <t xml:space="preserve">Ловушка: резервирование</t>
  </si>
  <si>
    <t xml:space="preserve">N рабочих + резерв. РД даёт 4 ед., смета 3 (коллизии 2–4 ОСК: скребок Finnchain, насос Flygt). Недобор = убыток при твёрдой цене</t>
  </si>
  <si>
    <t xml:space="preserve">Ловушка: приёмка по нормативу</t>
  </si>
  <si>
    <t xml:space="preserve">Приёмка ТОЛЬКО при достижении норматива очистки. За состав входящих стоков отвечает заказчик → оговорка в договоре (протокол разногласий п.1.4)</t>
  </si>
  <si>
    <t xml:space="preserve">Ловушка: длинный лид-тайм</t>
  </si>
  <si>
    <t xml:space="preserve">Дисковый фильтр, УФ — 16–24 нед. Решение о замене на РФ-аналог принимать в первые недели: перепроектирование+экспертиза 1,5–4 мес, иначе окно закрыто</t>
  </si>
  <si>
    <t xml:space="preserve">Точка безубыточности закупки</t>
  </si>
  <si>
    <t xml:space="preserve">Индексы НМЦК покрывают удорожание оборуд. до +33,5%. Реальный импорт +32–45% → выше 33,5% убыток. Каждые −5% цены ядра = +122 млн EBT</t>
  </si>
  <si>
    <t xml:space="preserve">Прямой РФ-аналог (мех. очистка)</t>
  </si>
  <si>
    <t xml:space="preserve">ИнСфера Hydrig (решётки RG/RGK/SR), сита TR, песколовки KURP — минимальное перепроектирование, пилот не нужен. Дисковый фильтр/УФ — через пилот</t>
  </si>
  <si>
    <t xml:space="preserve">Нормбаза домена</t>
  </si>
  <si>
    <t xml:space="preserve">СП 32.13330 (канализация), СП 31.13330 (водоснабжение), ИТС НДТ 10-2019 — проверять редакцию на дату</t>
  </si>
  <si>
    <t xml:space="preserve">ПРОГНОЗ ИД (объём исполнительной документации по видам работ — эталон ОСК)</t>
  </si>
  <si>
    <t xml:space="preserve">Вид работ</t>
  </si>
  <si>
    <t xml:space="preserve">АОСР</t>
  </si>
  <si>
    <t xml:space="preserve">Контроль</t>
  </si>
  <si>
    <t xml:space="preserve">Земляные работы / основания</t>
  </si>
  <si>
    <t xml:space="preserve">опрес. траншей, уплотнение грунта</t>
  </si>
  <si>
    <t xml:space="preserve">испытание свай, бетон свай</t>
  </si>
  <si>
    <t xml:space="preserve">Бетон / ж-б монолитные</t>
  </si>
  <si>
    <t xml:space="preserve">бетон + арматура</t>
  </si>
  <si>
    <t xml:space="preserve">НК сварки, ВИК/УЗК</t>
  </si>
  <si>
    <t xml:space="preserve">Антикоррозийная защита</t>
  </si>
  <si>
    <t xml:space="preserve">адгезия, толщина покрытия</t>
  </si>
  <si>
    <t xml:space="preserve">Наружные сети водопровод</t>
  </si>
  <si>
    <t xml:space="preserve">опрес./промывка, уплотнение засыпки</t>
  </si>
  <si>
    <t xml:space="preserve">Автодороги / покрытия</t>
  </si>
  <si>
    <t xml:space="preserve">ровность, керны/уплотнение</t>
  </si>
  <si>
    <t xml:space="preserve">Сводный прогноз ИД ОСК: ≈1 246 АОСР, 103 АООК, 709 актов испытаний, 513 лаб.испытаний. Приказ 344/пр (ИД), 1026/пр (ОЖР).</t>
  </si>
  <si>
    <t xml:space="preserve">13.1 · ДОМЕН ДОРОГИ И ИССО (каркас под МОДЦ — наполнить дорожным объектом)</t>
  </si>
  <si>
    <t xml:space="preserve">Каркас домена: структура готова, наполняется цифрами при первом объекте этого типа. До наполнения — режим [БЕЗ БАЗЫ] по числам.</t>
  </si>
  <si>
    <t xml:space="preserve">Материалы и ЛОГИСТИКА: битум/ПБВ, инертные (щебень/песок/ЩПС), а/б смеси, геосинтетика, борт.камень, барьерное огражд., трубы, освещение, знаки. Плечо инертных ₽/т·км — отдельно</t>
  </si>
  <si>
    <t xml:space="preserve">Длинноцикл / под КП</t>
  </si>
  <si>
    <t xml:space="preserve">Битум/ПБВ (волатильность!), балки моста, опоры, барьерное ограждение; спецтехника (краны большой г/п) с моб/демоб</t>
  </si>
  <si>
    <t xml:space="preserve">Ловушка: битум</t>
  </si>
  <si>
    <t xml:space="preserve">Кейс Каранайаул +158% к смете — главный риск маржи, ловить ДО подписания. Формульная привязка цены к бирже</t>
  </si>
  <si>
    <t xml:space="preserve">Ловушка: сезонное окно</t>
  </si>
  <si>
    <t xml:space="preserve">Температурное окно укладки а/б и «мокрых» работ — план от климатического окна региона НАЗАД</t>
  </si>
  <si>
    <t xml:space="preserve">Ловушка: гарантия</t>
  </si>
  <si>
    <t xml:space="preserve">Колейность, ровность IRI — отложенный убыток в гарантийный период</t>
  </si>
  <si>
    <t xml:space="preserve">Свой АБЗ</t>
  </si>
  <si>
    <t xml:space="preserve">Смесь считать снизу (битум+инертные+энергия+ФОТ), не по прайсу; загрузка АБЗ и логистика смеси (t укладки) — критический путь</t>
  </si>
  <si>
    <t xml:space="preserve">Нормбаза</t>
  </si>
  <si>
    <t xml:space="preserve">ГОСТ Р 58406.x (а/б смеси), СП 34.13330 (автодороги), СП 78.13330 (производство работ) — проверять редакцию</t>
  </si>
  <si>
    <t xml:space="preserve">Сборники ФЕР</t>
  </si>
  <si>
    <t xml:space="preserve">ФЕР-27 дороги, ФЕР-30 мосты</t>
  </si>
  <si>
    <t xml:space="preserve">13.3 · ДОМЕН ИНЖЕНЕРНЫЕ СЕТИ / ИТП (каркас)</t>
  </si>
  <si>
    <t xml:space="preserve">Центр тяжести</t>
  </si>
  <si>
    <t xml:space="preserve">Материалы (трубы, арматура, кабель, изоляция) + тяжёлое оборуд. (БТП, насосные, ПВУ) под КП</t>
  </si>
  <si>
    <t xml:space="preserve">Ловушка: цена по классу</t>
  </si>
  <si>
    <t xml:space="preserve">Синтетическая цена промахивается до 11× (Урок-Марина). Тяжёлое оборуд. — только под живое КП</t>
  </si>
  <si>
    <t xml:space="preserve">Ловушка: каналы</t>
  </si>
  <si>
    <t xml:space="preserve">Одна позиция гуляет 10–35% между каналами, до 6× между спецификациями (Урок-Канал). Твёрдая цена = поздняя выборка + КП</t>
  </si>
  <si>
    <t xml:space="preserve">Ловушка: охват РД</t>
  </si>
  <si>
    <t xml:space="preserve">Нет раздела = «вне охвата», не угадывать. Неполный охват занижает бюджет кратно</t>
  </si>
  <si>
    <t xml:space="preserve">Гидравлика</t>
  </si>
  <si>
    <t xml:space="preserve">Диаметры — двойной сверкой: скорость v И удельные потери R (СП 124.13330)</t>
  </si>
  <si>
    <t xml:space="preserve">РФ-аналоги</t>
  </si>
  <si>
    <t xml:space="preserve">Danfoss→Ридан; Grundfos/Wilo→ANTARUS; Buderus→отеч. панельные; кабель — Камкабель/Кабэкс</t>
  </si>
  <si>
    <t xml:space="preserve">13.4 · ДОМЕН ПРОМЫШЛЕННЫЙ МОНТАЖ (каркас)</t>
  </si>
  <si>
    <t xml:space="preserve">Труд и его производные (высокая доля ФОТ). Вахта съедает маржу</t>
  </si>
  <si>
    <t xml:space="preserve">НАКС + электрод под марку</t>
  </si>
  <si>
    <t xml:space="preserve">09Г2С→УОНИ13/55; аустенит→ОК61.85; 12ХМ→ОК76.18; ASME SA-537→ОК74.70. Подмена электрода = брак на ОПО</t>
  </si>
  <si>
    <t xml:space="preserve">Объёмная т/о (PWHT)</t>
  </si>
  <si>
    <t xml:space="preserve">Cr-Mo (12ХМ) и толстостенные/ASME — обязательна (услуги ~600–800к + изоляция + топливо)</t>
  </si>
  <si>
    <t xml:space="preserve">Толщина/положение</t>
  </si>
  <si>
    <t xml:space="preserve">33→52 мм: электроды ×2,56; проектное положение ≈×1,45 к горизонту</t>
  </si>
  <si>
    <t xml:space="preserve">Корпоративная расценка</t>
  </si>
  <si>
    <t xml:space="preserve">КОЕРр и аналоги — не ФЕР, проверять норматив внутри; давальческие — поимённо</t>
  </si>
  <si>
    <t xml:space="preserve">Вахта</t>
  </si>
  <si>
    <t xml:space="preserve">Суточные 600–700, проживание 500–1500, билет ДВ до 15к, аттестация НАКС до 650к пулом — снизу вверх</t>
  </si>
  <si>
    <t xml:space="preserve">13.5 · ДОМЕН ОБЩЕСТРОЙ / КЖ / СОЦИАЛЬНЫЕ (каркас)</t>
  </si>
  <si>
    <t xml:space="preserve">КЖ (бетон/арматура) + фасады/кровля + внутренние сети + отделка</t>
  </si>
  <si>
    <t xml:space="preserve">Длинноцикл</t>
  </si>
  <si>
    <t xml:space="preserve">Витражи, лифты, вентоборудование — 12–16 нед</t>
  </si>
  <si>
    <t xml:space="preserve">Ловушка: 1 компл.</t>
  </si>
  <si>
    <t xml:space="preserve">«1 компл.» в смете без расшифровки ≥5% НМЦК = блокер, расшифровка через заказчика</t>
  </si>
  <si>
    <t xml:space="preserve">Ловушка: кассовый разрыв</t>
  </si>
  <si>
    <t xml:space="preserve">Длинные социальные контракты — эталон Школа №19: разрыв за 13 мес, ГУ 5% = 101 млн вне оборота</t>
  </si>
  <si>
    <t xml:space="preserve">13.6 · ДОМЕН ЭНЕРГЕТИКА / ЭЛЕКТРОСЕТИ (каркас)</t>
  </si>
  <si>
    <t xml:space="preserve">КТП/РУ/трансформаторы + кабель (медь — биржевая волатильность)</t>
  </si>
  <si>
    <t xml:space="preserve">Ловушка: техприсоединение</t>
  </si>
  <si>
    <t xml:space="preserve">Границы балансовой принадлежности, сроки ТП</t>
  </si>
  <si>
    <t xml:space="preserve">Ловушка: ПУЭ</t>
  </si>
  <si>
    <t xml:space="preserve">Подмена меди на алюминий — только по проекту (ГИП+ПТР)</t>
  </si>
  <si>
    <t xml:space="preserve">ИД</t>
  </si>
  <si>
    <t xml:space="preserve">Электролаборатория / ПСИ в объёме ИД обязательны</t>
  </si>
  <si>
    <t xml:space="preserve">13.7 · ДОМЕН БЛАГОУСТРОЙСТВО (каркас)</t>
  </si>
  <si>
    <t xml:space="preserve">Плитка/камень/МАФ/озеленение</t>
  </si>
  <si>
    <t xml:space="preserve">Ловушка: сезон</t>
  </si>
  <si>
    <t xml:space="preserve">Окно посадок и «мокрых» работ</t>
  </si>
  <si>
    <t xml:space="preserve">Ловушка: приёмка по эстетике</t>
  </si>
  <si>
    <t xml:space="preserve">Субъективная — фиксировать критерии в договоре</t>
  </si>
  <si>
    <t xml:space="preserve">Вандализм в гарантийный период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</si>
</sst>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%"/>
    <numFmt numFmtId="167" formatCode="0.00"/>
    <numFmt numFmtId="168" formatCode="0.0%"/>
    <numFmt numFmtId="169" formatCode="#,##0;\(#,##0\)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  <fill>
      <patternFill patternType="solid">
        <fgColor rgb="FF2E5496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70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34.5" hidden="false" customHeight="true" outlineLevel="0" collapsed="false">
      <c r="A3" s="3" t="s">
        <v>1</v>
      </c>
      <c r="B3" s="4" t="s">
        <v>2</v>
      </c>
    </row>
    <row r="4" customFormat="false" ht="23.25" hidden="false" customHeight="true" outlineLevel="0" collapsed="false">
      <c r="A4" s="3" t="s">
        <v>3</v>
      </c>
      <c r="B4" s="4" t="s">
        <v>4</v>
      </c>
    </row>
    <row r="5" customFormat="false" ht="23.2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23.25" hidden="false" customHeight="true" outlineLevel="0" collapsed="false">
      <c r="A7" s="3" t="s">
        <v>9</v>
      </c>
      <c r="B7" s="4" t="s">
        <v>10</v>
      </c>
    </row>
    <row r="8" customFormat="false" ht="23.25" hidden="false" customHeight="true" outlineLevel="0" collapsed="false">
      <c r="A8" s="3" t="s">
        <v>11</v>
      </c>
      <c r="B8" s="4" t="s">
        <v>12</v>
      </c>
    </row>
    <row r="9" customFormat="false" ht="34.5" hidden="false" customHeight="true" outlineLevel="0" collapsed="false">
      <c r="A9" s="3" t="s">
        <v>13</v>
      </c>
      <c r="B9" s="4" t="s">
        <v>14</v>
      </c>
    </row>
    <row r="11" customFormat="false" ht="15" hidden="false" customHeight="true" outlineLevel="0" collapsed="false">
      <c r="A11" s="5" t="s">
        <v>15</v>
      </c>
      <c r="B11" s="5"/>
    </row>
    <row r="12" customFormat="false" ht="15" hidden="false" customHeight="true" outlineLevel="0" collapsed="false">
      <c r="A12" s="6" t="s">
        <v>16</v>
      </c>
      <c r="B12" s="6" t="s">
        <v>17</v>
      </c>
    </row>
    <row r="13" customFormat="false" ht="23.25" hidden="false" customHeight="true" outlineLevel="0" collapsed="false">
      <c r="A13" s="7" t="s">
        <v>18</v>
      </c>
      <c r="B13" s="8" t="s">
        <v>19</v>
      </c>
    </row>
    <row r="14" customFormat="false" ht="23.25" hidden="false" customHeight="true" outlineLevel="0" collapsed="false">
      <c r="A14" s="7" t="s">
        <v>20</v>
      </c>
      <c r="B14" s="8" t="s">
        <v>21</v>
      </c>
    </row>
    <row r="15" customFormat="false" ht="15" hidden="false" customHeight="true" outlineLevel="0" collapsed="false">
      <c r="A15" s="7" t="s">
        <v>22</v>
      </c>
      <c r="B15" s="8" t="s">
        <v>23</v>
      </c>
    </row>
    <row r="16" customFormat="false" ht="15" hidden="false" customHeight="true" outlineLevel="0" collapsed="false">
      <c r="A16" s="7" t="s">
        <v>24</v>
      </c>
      <c r="B16" s="8" t="s">
        <v>25</v>
      </c>
    </row>
    <row r="17" customFormat="false" ht="15" hidden="false" customHeight="true" outlineLevel="0" collapsed="false">
      <c r="A17" s="7" t="s">
        <v>26</v>
      </c>
      <c r="B17" s="8" t="s">
        <v>27</v>
      </c>
    </row>
    <row r="18" customFormat="false" ht="15" hidden="false" customHeight="true" outlineLevel="0" collapsed="false">
      <c r="A18" s="7" t="s">
        <v>28</v>
      </c>
      <c r="B18" s="8" t="s">
        <v>29</v>
      </c>
    </row>
    <row r="19" customFormat="false" ht="15" hidden="false" customHeight="true" outlineLevel="0" collapsed="false">
      <c r="A19" s="7" t="s">
        <v>30</v>
      </c>
      <c r="B19" s="8" t="s">
        <v>31</v>
      </c>
    </row>
    <row r="20" customFormat="false" ht="15" hidden="false" customHeight="true" outlineLevel="0" collapsed="false">
      <c r="A20" s="7" t="s">
        <v>32</v>
      </c>
      <c r="B20" s="8" t="s">
        <v>33</v>
      </c>
    </row>
    <row r="21" customFormat="false" ht="15" hidden="false" customHeight="true" outlineLevel="0" collapsed="false">
      <c r="A21" s="7" t="s">
        <v>34</v>
      </c>
      <c r="B21" s="8" t="s">
        <v>35</v>
      </c>
    </row>
    <row r="22" customFormat="false" ht="15" hidden="false" customHeight="true" outlineLevel="0" collapsed="false">
      <c r="A22" s="7" t="s">
        <v>36</v>
      </c>
      <c r="B22" s="8" t="s">
        <v>37</v>
      </c>
    </row>
    <row r="23" customFormat="false" ht="15" hidden="false" customHeight="true" outlineLevel="0" collapsed="false">
      <c r="A23" s="7" t="s">
        <v>38</v>
      </c>
      <c r="B23" s="8" t="s">
        <v>39</v>
      </c>
    </row>
    <row r="24" customFormat="false" ht="15" hidden="false" customHeight="true" outlineLevel="0" collapsed="false">
      <c r="A24" s="7" t="s">
        <v>40</v>
      </c>
      <c r="B24" s="8" t="s">
        <v>41</v>
      </c>
    </row>
    <row r="25" customFormat="false" ht="15" hidden="false" customHeight="true" outlineLevel="0" collapsed="false">
      <c r="A25" s="7" t="s">
        <v>42</v>
      </c>
      <c r="B25" s="8" t="s">
        <v>43</v>
      </c>
    </row>
    <row r="26" customFormat="false" ht="15" hidden="false" customHeight="true" outlineLevel="0" collapsed="false">
      <c r="A26" s="7" t="s">
        <v>44</v>
      </c>
      <c r="B26" s="8" t="s">
        <v>45</v>
      </c>
    </row>
    <row r="27" customFormat="false" ht="15" hidden="false" customHeight="true" outlineLevel="0" collapsed="false">
      <c r="A27" s="7" t="s">
        <v>46</v>
      </c>
      <c r="B27" s="8" t="s">
        <v>47</v>
      </c>
    </row>
    <row r="28" customFormat="false" ht="15" hidden="false" customHeight="true" outlineLevel="0" collapsed="false">
      <c r="A28" s="7" t="s">
        <v>48</v>
      </c>
      <c r="B28" s="8" t="s">
        <v>47</v>
      </c>
    </row>
    <row r="29" customFormat="false" ht="15" hidden="false" customHeight="true" outlineLevel="0" collapsed="false">
      <c r="A29" s="7" t="s">
        <v>49</v>
      </c>
      <c r="B29" s="8" t="s">
        <v>47</v>
      </c>
    </row>
    <row r="30" customFormat="false" ht="15" hidden="false" customHeight="true" outlineLevel="0" collapsed="false">
      <c r="A30" s="7" t="s">
        <v>50</v>
      </c>
      <c r="B30" s="8" t="s">
        <v>47</v>
      </c>
    </row>
    <row r="31" customFormat="false" ht="15" hidden="false" customHeight="true" outlineLevel="0" collapsed="false">
      <c r="A31" s="7" t="s">
        <v>51</v>
      </c>
      <c r="B31" s="8" t="s">
        <v>47</v>
      </c>
    </row>
  </sheetData>
  <mergeCells count="2">
    <mergeCell ref="A1:F1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5" min="5" style="1" width="44"/>
  </cols>
  <sheetData>
    <row r="1" customFormat="false" ht="25.5" hidden="false" customHeight="true" outlineLevel="0" collapsed="false">
      <c r="A1" s="2" t="s">
        <v>52</v>
      </c>
      <c r="B1" s="2"/>
      <c r="C1" s="2"/>
      <c r="D1" s="2"/>
      <c r="E1" s="2"/>
    </row>
    <row r="3" customFormat="false" ht="15" hidden="false" customHeight="true" outlineLevel="0" collapsed="false">
      <c r="B3" s="9" t="s">
        <v>53</v>
      </c>
    </row>
    <row r="5" customFormat="false" ht="15" hidden="false" customHeight="true" outlineLevel="0" collapsed="false">
      <c r="A5" s="5" t="s">
        <v>54</v>
      </c>
      <c r="B5" s="5"/>
      <c r="C5" s="5"/>
      <c r="D5" s="5"/>
      <c r="E5" s="5"/>
    </row>
    <row r="6" customFormat="false" ht="15" hidden="false" customHeight="true" outlineLevel="0" collapsed="false">
      <c r="A6" s="6" t="s">
        <v>55</v>
      </c>
      <c r="B6" s="6" t="s">
        <v>56</v>
      </c>
      <c r="C6" s="6" t="s">
        <v>57</v>
      </c>
      <c r="D6" s="6" t="s">
        <v>58</v>
      </c>
      <c r="E6" s="6" t="s">
        <v>59</v>
      </c>
    </row>
    <row r="7" customFormat="false" ht="15" hidden="false" customHeight="true" outlineLevel="0" collapsed="false">
      <c r="A7" s="7" t="n">
        <v>1</v>
      </c>
      <c r="B7" s="7" t="s">
        <v>60</v>
      </c>
      <c r="C7" s="10" t="n">
        <v>4002854177</v>
      </c>
      <c r="D7" s="7" t="s">
        <v>61</v>
      </c>
      <c r="E7" s="8" t="s">
        <v>62</v>
      </c>
    </row>
    <row r="8" customFormat="false" ht="15" hidden="false" customHeight="true" outlineLevel="0" collapsed="false">
      <c r="A8" s="7" t="n">
        <v>2</v>
      </c>
      <c r="B8" s="7" t="s">
        <v>63</v>
      </c>
      <c r="C8" s="11" t="n">
        <v>0.22</v>
      </c>
      <c r="D8" s="7" t="s">
        <v>64</v>
      </c>
      <c r="E8" s="8" t="s">
        <v>65</v>
      </c>
    </row>
    <row r="9" customFormat="false" ht="15" hidden="false" customHeight="true" outlineLevel="0" collapsed="false">
      <c r="A9" s="7" t="n">
        <v>3</v>
      </c>
      <c r="B9" s="7" t="s">
        <v>66</v>
      </c>
      <c r="C9" s="10" t="n">
        <v>36</v>
      </c>
      <c r="D9" s="7" t="s">
        <v>67</v>
      </c>
      <c r="E9" s="8" t="s">
        <v>68</v>
      </c>
    </row>
    <row r="10" customFormat="false" ht="15" hidden="false" customHeight="true" outlineLevel="0" collapsed="false">
      <c r="A10" s="7" t="n">
        <v>4</v>
      </c>
      <c r="B10" s="7" t="s">
        <v>69</v>
      </c>
      <c r="C10" s="11" t="n">
        <v>0.25</v>
      </c>
      <c r="D10" s="7" t="s">
        <v>64</v>
      </c>
      <c r="E10" s="8" t="s">
        <v>70</v>
      </c>
    </row>
    <row r="11" customFormat="false" ht="15" hidden="false" customHeight="true" outlineLevel="0" collapsed="false">
      <c r="A11" s="7" t="n">
        <v>5</v>
      </c>
      <c r="B11" s="7" t="s">
        <v>71</v>
      </c>
      <c r="C11" s="11" t="n">
        <v>0.05</v>
      </c>
      <c r="D11" s="7" t="s">
        <v>64</v>
      </c>
      <c r="E11" s="8" t="s">
        <v>72</v>
      </c>
    </row>
    <row r="12" customFormat="false" ht="15" hidden="false" customHeight="true" outlineLevel="0" collapsed="false">
      <c r="A12" s="7" t="n">
        <v>6</v>
      </c>
      <c r="B12" s="7" t="s">
        <v>73</v>
      </c>
      <c r="C12" s="11" t="n">
        <v>0.2955</v>
      </c>
      <c r="D12" s="7" t="s">
        <v>64</v>
      </c>
      <c r="E12" s="8" t="s">
        <v>74</v>
      </c>
    </row>
    <row r="13" customFormat="false" ht="15" hidden="false" customHeight="true" outlineLevel="0" collapsed="false">
      <c r="A13" s="7" t="n">
        <v>7</v>
      </c>
      <c r="B13" s="7" t="s">
        <v>75</v>
      </c>
      <c r="C13" s="11" t="n">
        <v>0.02</v>
      </c>
      <c r="D13" s="7" t="s">
        <v>64</v>
      </c>
      <c r="E13" s="8" t="s">
        <v>76</v>
      </c>
    </row>
    <row r="14" customFormat="false" ht="15" hidden="false" customHeight="true" outlineLevel="0" collapsed="false">
      <c r="A14" s="7" t="n">
        <v>8</v>
      </c>
      <c r="B14" s="7" t="s">
        <v>77</v>
      </c>
      <c r="C14" s="11" t="n">
        <v>0.2</v>
      </c>
      <c r="D14" s="7" t="s">
        <v>78</v>
      </c>
      <c r="E14" s="8" t="s">
        <v>79</v>
      </c>
    </row>
    <row r="16" customFormat="false" ht="15" hidden="false" customHeight="true" outlineLevel="0" collapsed="false">
      <c r="A16" s="5" t="s">
        <v>80</v>
      </c>
      <c r="B16" s="5"/>
      <c r="C16" s="5"/>
      <c r="D16" s="5"/>
      <c r="E16" s="5"/>
    </row>
    <row r="17" customFormat="false" ht="15" hidden="false" customHeight="true" outlineLevel="0" collapsed="false">
      <c r="A17" s="6" t="s">
        <v>55</v>
      </c>
      <c r="B17" s="6" t="s">
        <v>81</v>
      </c>
      <c r="C17" s="6" t="s">
        <v>82</v>
      </c>
      <c r="D17" s="6" t="s">
        <v>58</v>
      </c>
      <c r="E17" s="6" t="s">
        <v>83</v>
      </c>
    </row>
    <row r="18" customFormat="false" ht="15" hidden="false" customHeight="true" outlineLevel="0" collapsed="false">
      <c r="A18" s="7" t="n">
        <v>1</v>
      </c>
      <c r="B18" s="7" t="s">
        <v>84</v>
      </c>
      <c r="C18" s="10" t="n">
        <v>177950820</v>
      </c>
      <c r="D18" s="7" t="s">
        <v>61</v>
      </c>
      <c r="E18" s="8" t="s">
        <v>85</v>
      </c>
    </row>
    <row r="19" customFormat="false" ht="15" hidden="false" customHeight="true" outlineLevel="0" collapsed="false">
      <c r="A19" s="7" t="n">
        <v>2</v>
      </c>
      <c r="B19" s="7" t="s">
        <v>86</v>
      </c>
      <c r="C19" s="10" t="n">
        <v>523852459</v>
      </c>
      <c r="D19" s="7" t="s">
        <v>61</v>
      </c>
      <c r="E19" s="8" t="s">
        <v>87</v>
      </c>
    </row>
    <row r="20" customFormat="false" ht="15" hidden="false" customHeight="true" outlineLevel="0" collapsed="false">
      <c r="A20" s="7" t="n">
        <v>3</v>
      </c>
      <c r="B20" s="7" t="s">
        <v>88</v>
      </c>
      <c r="C20" s="10" t="n">
        <v>1999754098</v>
      </c>
      <c r="D20" s="7" t="s">
        <v>61</v>
      </c>
      <c r="E20" s="8" t="s">
        <v>89</v>
      </c>
    </row>
    <row r="21" customFormat="false" ht="15" hidden="false" customHeight="true" outlineLevel="0" collapsed="false">
      <c r="A21" s="7" t="n">
        <v>4</v>
      </c>
      <c r="B21" s="7" t="s">
        <v>90</v>
      </c>
      <c r="C21" s="10" t="n">
        <v>277868852</v>
      </c>
      <c r="D21" s="7" t="s">
        <v>61</v>
      </c>
      <c r="E21" s="8" t="s">
        <v>91</v>
      </c>
    </row>
    <row r="22" customFormat="false" ht="15" hidden="false" customHeight="true" outlineLevel="0" collapsed="false">
      <c r="B22" s="9" t="s">
        <v>92</v>
      </c>
    </row>
  </sheetData>
  <mergeCells count="3">
    <mergeCell ref="A1:E1"/>
    <mergeCell ref="A5:E5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0"/>
    <col collapsed="false" customWidth="true" hidden="false" outlineLevel="0" max="3" min="3" style="1" width="10"/>
    <col collapsed="false" customWidth="true" hidden="false" outlineLevel="0" max="4" min="4" style="1" width="44"/>
    <col collapsed="false" customWidth="true" hidden="false" outlineLevel="0" max="5" min="5" style="1" width="9"/>
    <col collapsed="false" customWidth="true" hidden="false" outlineLevel="0" max="7" min="6" style="1" width="15"/>
  </cols>
  <sheetData>
    <row r="1" customFormat="false" ht="25.5" hidden="false" customHeight="true" outlineLevel="0" collapsed="false">
      <c r="A1" s="2" t="s">
        <v>93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9" t="s">
        <v>94</v>
      </c>
    </row>
    <row r="5" customFormat="false" ht="23.25" hidden="false" customHeight="true" outlineLevel="0" collapsed="false">
      <c r="A5" s="6" t="s">
        <v>95</v>
      </c>
      <c r="B5" s="6" t="s">
        <v>96</v>
      </c>
      <c r="C5" s="6" t="s">
        <v>97</v>
      </c>
      <c r="D5" s="6" t="s">
        <v>98</v>
      </c>
      <c r="E5" s="6" t="s">
        <v>99</v>
      </c>
      <c r="F5" s="6" t="s">
        <v>100</v>
      </c>
      <c r="G5" s="6" t="s">
        <v>101</v>
      </c>
    </row>
    <row r="6" customFormat="false" ht="15" hidden="false" customHeight="true" outlineLevel="0" collapsed="false">
      <c r="A6" s="7" t="s">
        <v>102</v>
      </c>
      <c r="B6" s="7" t="s">
        <v>103</v>
      </c>
      <c r="C6" s="12" t="n">
        <v>0.8</v>
      </c>
      <c r="D6" s="8" t="s">
        <v>104</v>
      </c>
      <c r="E6" s="7" t="n">
        <v>328</v>
      </c>
      <c r="F6" s="13" t="n">
        <v>18744555</v>
      </c>
      <c r="G6" s="13" t="n">
        <f aca="false">F6*(1-C6)</f>
        <v>3748911</v>
      </c>
    </row>
    <row r="7" customFormat="false" ht="15" hidden="false" customHeight="true" outlineLevel="0" collapsed="false">
      <c r="A7" s="7" t="s">
        <v>105</v>
      </c>
      <c r="B7" s="7" t="s">
        <v>106</v>
      </c>
      <c r="C7" s="12" t="n">
        <v>0.87</v>
      </c>
      <c r="D7" s="8" t="s">
        <v>107</v>
      </c>
      <c r="E7" s="7" t="n">
        <v>25</v>
      </c>
      <c r="F7" s="13" t="n">
        <v>24944374</v>
      </c>
      <c r="G7" s="13" t="n">
        <f aca="false">F7*(1-C7)</f>
        <v>3242768.62</v>
      </c>
    </row>
    <row r="8" customFormat="false" ht="15" hidden="false" customHeight="true" outlineLevel="0" collapsed="false">
      <c r="A8" s="7" t="s">
        <v>108</v>
      </c>
      <c r="B8" s="7" t="s">
        <v>109</v>
      </c>
      <c r="C8" s="12" t="n">
        <v>0.8</v>
      </c>
      <c r="D8" s="8" t="s">
        <v>110</v>
      </c>
      <c r="E8" s="7" t="n">
        <v>219</v>
      </c>
      <c r="F8" s="13" t="n">
        <v>17850248</v>
      </c>
      <c r="G8" s="13" t="n">
        <f aca="false">F8*(1-C8)</f>
        <v>3570049.6</v>
      </c>
    </row>
    <row r="9" customFormat="false" ht="15" hidden="false" customHeight="true" outlineLevel="0" collapsed="false">
      <c r="A9" s="7" t="s">
        <v>111</v>
      </c>
      <c r="B9" s="7" t="s">
        <v>112</v>
      </c>
      <c r="C9" s="12" t="n">
        <v>0.83</v>
      </c>
      <c r="D9" s="8" t="s">
        <v>113</v>
      </c>
      <c r="E9" s="7" t="n">
        <v>62</v>
      </c>
      <c r="F9" s="13" t="n">
        <v>1352500</v>
      </c>
      <c r="G9" s="13" t="n">
        <f aca="false">F9*(1-C9)</f>
        <v>229925</v>
      </c>
    </row>
    <row r="10" customFormat="false" ht="15" hidden="false" customHeight="true" outlineLevel="0" collapsed="false">
      <c r="A10" s="7" t="s">
        <v>114</v>
      </c>
      <c r="B10" s="7" t="s">
        <v>115</v>
      </c>
      <c r="C10" s="12" t="n">
        <v>0.82</v>
      </c>
      <c r="D10" s="8" t="s">
        <v>116</v>
      </c>
      <c r="E10" s="7" t="n">
        <v>45</v>
      </c>
      <c r="F10" s="13" t="n">
        <v>1923968</v>
      </c>
      <c r="G10" s="13" t="n">
        <f aca="false">F10*(1-C10)</f>
        <v>346314.24</v>
      </c>
    </row>
    <row r="11" customFormat="false" ht="15" hidden="false" customHeight="true" outlineLevel="0" collapsed="false">
      <c r="A11" s="7" t="s">
        <v>117</v>
      </c>
      <c r="B11" s="7" t="s">
        <v>118</v>
      </c>
      <c r="C11" s="12" t="n">
        <v>0.83</v>
      </c>
      <c r="D11" s="8" t="s">
        <v>119</v>
      </c>
      <c r="E11" s="7" t="n">
        <v>181</v>
      </c>
      <c r="F11" s="13" t="n">
        <v>7410533</v>
      </c>
      <c r="G11" s="13" t="n">
        <f aca="false">F11*(1-C11)</f>
        <v>1259790.61</v>
      </c>
    </row>
    <row r="12" customFormat="false" ht="15" hidden="false" customHeight="true" outlineLevel="0" collapsed="false">
      <c r="A12" s="7" t="s">
        <v>120</v>
      </c>
      <c r="B12" s="7" t="s">
        <v>121</v>
      </c>
      <c r="C12" s="12" t="n">
        <v>0.83</v>
      </c>
      <c r="D12" s="8" t="s">
        <v>122</v>
      </c>
      <c r="E12" s="7" t="n">
        <v>49</v>
      </c>
      <c r="F12" s="13" t="n">
        <v>1082955</v>
      </c>
      <c r="G12" s="13" t="n">
        <f aca="false">F12*(1-C12)</f>
        <v>184102.35</v>
      </c>
    </row>
    <row r="13" customFormat="false" ht="15" hidden="false" customHeight="true" outlineLevel="0" collapsed="false">
      <c r="A13" s="7" t="s">
        <v>123</v>
      </c>
      <c r="B13" s="7" t="s">
        <v>124</v>
      </c>
      <c r="C13" s="12" t="n">
        <v>0.83</v>
      </c>
      <c r="D13" s="8" t="s">
        <v>125</v>
      </c>
      <c r="E13" s="7" t="n">
        <v>137</v>
      </c>
      <c r="F13" s="13" t="n">
        <v>4642822</v>
      </c>
      <c r="G13" s="13" t="n">
        <f aca="false">F13*(1-C13)</f>
        <v>789279.74</v>
      </c>
    </row>
    <row r="14" customFormat="false" ht="15" hidden="false" customHeight="true" outlineLevel="0" collapsed="false">
      <c r="A14" s="7" t="s">
        <v>126</v>
      </c>
      <c r="B14" s="7" t="s">
        <v>127</v>
      </c>
      <c r="C14" s="12" t="n">
        <v>0.88</v>
      </c>
      <c r="D14" s="8" t="s">
        <v>128</v>
      </c>
      <c r="E14" s="7" t="n">
        <v>1037</v>
      </c>
      <c r="F14" s="13" t="n">
        <v>43880000</v>
      </c>
      <c r="G14" s="13" t="n">
        <f aca="false">F14*(1-C14)</f>
        <v>5265600</v>
      </c>
    </row>
    <row r="15" customFormat="false" ht="15" hidden="false" customHeight="true" outlineLevel="0" collapsed="false">
      <c r="A15" s="7" t="s">
        <v>129</v>
      </c>
      <c r="B15" s="7" t="s">
        <v>130</v>
      </c>
      <c r="C15" s="12" t="n">
        <v>0.9</v>
      </c>
      <c r="D15" s="8" t="s">
        <v>131</v>
      </c>
      <c r="E15" s="7" t="n">
        <v>404</v>
      </c>
      <c r="F15" s="13" t="n">
        <v>34710000</v>
      </c>
      <c r="G15" s="13" t="n">
        <f aca="false">F15*(1-C15)</f>
        <v>3471000</v>
      </c>
    </row>
    <row r="16" customFormat="false" ht="15" hidden="false" customHeight="true" outlineLevel="0" collapsed="false">
      <c r="A16" s="7" t="s">
        <v>132</v>
      </c>
      <c r="B16" s="7" t="s">
        <v>133</v>
      </c>
      <c r="C16" s="12" t="n">
        <v>0.85</v>
      </c>
      <c r="D16" s="8" t="s">
        <v>134</v>
      </c>
      <c r="E16" s="7" t="n">
        <v>118</v>
      </c>
      <c r="F16" s="13" t="n">
        <v>34824000</v>
      </c>
      <c r="G16" s="13" t="n">
        <f aca="false">F16*(1-C16)</f>
        <v>5223600</v>
      </c>
    </row>
    <row r="17" customFormat="false" ht="15" hidden="false" customHeight="true" outlineLevel="0" collapsed="false">
      <c r="A17" s="7"/>
      <c r="B17" s="14" t="s">
        <v>135</v>
      </c>
      <c r="C17" s="7"/>
      <c r="D17" s="7"/>
      <c r="E17" s="15" t="n">
        <f aca="false">SUM(E6:E16)</f>
        <v>2605</v>
      </c>
      <c r="F17" s="15" t="n">
        <f aca="false">SUM(F6:F16)</f>
        <v>191365955</v>
      </c>
      <c r="G17" s="15" t="n">
        <f aca="false">SUM(G6:G16)</f>
        <v>27331341.16</v>
      </c>
    </row>
    <row r="19" customFormat="false" ht="15" hidden="false" customHeight="true" outlineLevel="0" collapsed="false">
      <c r="A19" s="9" t="s">
        <v>136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8"/>
    <col collapsed="false" customWidth="true" hidden="false" outlineLevel="0" max="4" min="3" style="1" width="18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8"/>
  </cols>
  <sheetData>
    <row r="1" customFormat="false" ht="25.5" hidden="false" customHeight="true" outlineLevel="0" collapsed="false">
      <c r="A1" s="2" t="s">
        <v>137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9" t="s">
        <v>138</v>
      </c>
    </row>
    <row r="5" customFormat="false" ht="15" hidden="false" customHeight="true" outlineLevel="0" collapsed="false">
      <c r="A5" s="6" t="s">
        <v>139</v>
      </c>
      <c r="B5" s="6" t="s">
        <v>58</v>
      </c>
      <c r="C5" s="6" t="s">
        <v>140</v>
      </c>
      <c r="D5" s="6" t="s">
        <v>141</v>
      </c>
      <c r="E5" s="6" t="s">
        <v>142</v>
      </c>
      <c r="F5" s="6" t="s">
        <v>143</v>
      </c>
      <c r="G5" s="6" t="s">
        <v>144</v>
      </c>
    </row>
    <row r="6" customFormat="false" ht="15" hidden="false" customHeight="true" outlineLevel="0" collapsed="false">
      <c r="A6" s="7" t="s">
        <v>145</v>
      </c>
      <c r="B6" s="7" t="s">
        <v>146</v>
      </c>
      <c r="C6" s="10" t="n">
        <v>600</v>
      </c>
      <c r="D6" s="13" t="n">
        <v>800</v>
      </c>
      <c r="E6" s="16" t="n">
        <f aca="false">IFERROR(C6/D6,"")</f>
        <v>0.75</v>
      </c>
      <c r="F6" s="7" t="s">
        <v>147</v>
      </c>
      <c r="G6" s="7" t="s">
        <v>148</v>
      </c>
    </row>
    <row r="7" customFormat="false" ht="15" hidden="false" customHeight="true" outlineLevel="0" collapsed="false">
      <c r="A7" s="7" t="s">
        <v>149</v>
      </c>
      <c r="B7" s="7" t="s">
        <v>146</v>
      </c>
      <c r="C7" s="10" t="n">
        <v>4050</v>
      </c>
      <c r="D7" s="13" t="n">
        <v>7400</v>
      </c>
      <c r="E7" s="16" t="n">
        <f aca="false">IFERROR(C7/D7,"")</f>
        <v>0.547297297297297</v>
      </c>
      <c r="F7" s="7" t="s">
        <v>147</v>
      </c>
      <c r="G7" s="7" t="s">
        <v>148</v>
      </c>
    </row>
    <row r="8" customFormat="false" ht="15" hidden="false" customHeight="true" outlineLevel="0" collapsed="false">
      <c r="A8" s="7" t="s">
        <v>150</v>
      </c>
      <c r="B8" s="7" t="s">
        <v>151</v>
      </c>
      <c r="C8" s="10" t="n">
        <v>52500</v>
      </c>
      <c r="D8" s="13" t="n">
        <v>82700</v>
      </c>
      <c r="E8" s="16" t="n">
        <f aca="false">IFERROR(C8/D8,"")</f>
        <v>0.634824667472793</v>
      </c>
      <c r="F8" s="7" t="s">
        <v>147</v>
      </c>
      <c r="G8" s="7" t="s">
        <v>148</v>
      </c>
    </row>
    <row r="9" customFormat="false" ht="15" hidden="false" customHeight="true" outlineLevel="0" collapsed="false">
      <c r="A9" s="7" t="s">
        <v>152</v>
      </c>
      <c r="B9" s="7" t="s">
        <v>153</v>
      </c>
      <c r="C9" s="17" t="s">
        <v>154</v>
      </c>
      <c r="D9" s="7" t="s">
        <v>155</v>
      </c>
      <c r="E9" s="7" t="s">
        <v>156</v>
      </c>
      <c r="F9" s="7" t="s">
        <v>147</v>
      </c>
      <c r="G9" s="7" t="s">
        <v>157</v>
      </c>
    </row>
    <row r="10" customFormat="false" ht="15" hidden="false" customHeight="true" outlineLevel="0" collapsed="false">
      <c r="A10" s="7" t="s">
        <v>158</v>
      </c>
      <c r="B10" s="7" t="s">
        <v>146</v>
      </c>
      <c r="C10" s="10" t="n">
        <v>10500</v>
      </c>
      <c r="D10" s="13" t="n">
        <v>9500</v>
      </c>
      <c r="E10" s="16" t="n">
        <f aca="false">IFERROR(C10/D10,"")</f>
        <v>1.10526315789474</v>
      </c>
      <c r="F10" s="7" t="s">
        <v>147</v>
      </c>
      <c r="G10" s="7" t="s">
        <v>159</v>
      </c>
    </row>
    <row r="11" customFormat="false" ht="15" hidden="false" customHeight="true" outlineLevel="0" collapsed="false">
      <c r="A11" s="7" t="s">
        <v>160</v>
      </c>
      <c r="B11" s="7" t="s">
        <v>146</v>
      </c>
      <c r="C11" s="17" t="s">
        <v>161</v>
      </c>
      <c r="D11" s="7" t="s">
        <v>156</v>
      </c>
      <c r="E11" s="7" t="s">
        <v>156</v>
      </c>
      <c r="F11" s="7" t="s">
        <v>156</v>
      </c>
      <c r="G11" s="7" t="s">
        <v>162</v>
      </c>
    </row>
    <row r="12" customFormat="false" ht="15" hidden="false" customHeight="true" outlineLevel="0" collapsed="false">
      <c r="A12" s="7" t="s">
        <v>163</v>
      </c>
      <c r="B12" s="7" t="s">
        <v>151</v>
      </c>
      <c r="C12" s="17" t="s">
        <v>164</v>
      </c>
      <c r="D12" s="7" t="s">
        <v>156</v>
      </c>
      <c r="E12" s="7" t="s">
        <v>156</v>
      </c>
      <c r="F12" s="7" t="s">
        <v>156</v>
      </c>
      <c r="G12" s="7" t="s">
        <v>165</v>
      </c>
    </row>
    <row r="14" customFormat="false" ht="15" hidden="false" customHeight="true" outlineLevel="0" collapsed="false">
      <c r="A14" s="9" t="s">
        <v>166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6"/>
    <col collapsed="false" customWidth="true" hidden="false" outlineLevel="0" max="3" min="3" style="1" width="5"/>
    <col collapsed="false" customWidth="true" hidden="false" outlineLevel="0" max="4" min="4" style="1" width="15"/>
    <col collapsed="false" customWidth="true" hidden="false" outlineLevel="0" max="5" min="5" style="1" width="20"/>
    <col collapsed="false" customWidth="true" hidden="false" outlineLevel="0" max="6" min="6" style="1" width="26"/>
    <col collapsed="false" customWidth="true" hidden="false" outlineLevel="0" max="7" min="7" style="1" width="10"/>
    <col collapsed="false" customWidth="true" hidden="false" outlineLevel="0" max="8" min="8" style="1" width="14"/>
  </cols>
  <sheetData>
    <row r="1" customFormat="false" ht="25.5" hidden="false" customHeight="true" outlineLevel="0" collapsed="false">
      <c r="A1" s="2" t="s">
        <v>167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9" t="s">
        <v>168</v>
      </c>
    </row>
    <row r="5" customFormat="false" ht="15" hidden="false" customHeight="true" outlineLevel="0" collapsed="false">
      <c r="A5" s="6" t="s">
        <v>169</v>
      </c>
      <c r="B5" s="6" t="s">
        <v>58</v>
      </c>
      <c r="C5" s="6" t="s">
        <v>170</v>
      </c>
      <c r="D5" s="6" t="s">
        <v>100</v>
      </c>
      <c r="E5" s="6" t="s">
        <v>171</v>
      </c>
      <c r="F5" s="6" t="s">
        <v>172</v>
      </c>
      <c r="G5" s="6" t="s">
        <v>173</v>
      </c>
      <c r="H5" s="6" t="s">
        <v>144</v>
      </c>
    </row>
    <row r="6" customFormat="false" ht="23.25" hidden="false" customHeight="true" outlineLevel="0" collapsed="false">
      <c r="A6" s="8" t="s">
        <v>174</v>
      </c>
      <c r="B6" s="7" t="s">
        <v>175</v>
      </c>
      <c r="C6" s="7" t="n">
        <v>9</v>
      </c>
      <c r="D6" s="10" t="n">
        <v>785183251</v>
      </c>
      <c r="E6" s="8" t="s">
        <v>176</v>
      </c>
      <c r="F6" s="8" t="s">
        <v>177</v>
      </c>
      <c r="G6" s="7" t="s">
        <v>178</v>
      </c>
      <c r="H6" s="7" t="s">
        <v>179</v>
      </c>
    </row>
    <row r="7" customFormat="false" ht="23.25" hidden="false" customHeight="true" outlineLevel="0" collapsed="false">
      <c r="A7" s="8" t="s">
        <v>180</v>
      </c>
      <c r="B7" s="7" t="s">
        <v>181</v>
      </c>
      <c r="C7" s="7" t="n">
        <v>1</v>
      </c>
      <c r="D7" s="10" t="n">
        <v>666886571</v>
      </c>
      <c r="E7" s="8" t="s">
        <v>182</v>
      </c>
      <c r="F7" s="8" t="s">
        <v>183</v>
      </c>
      <c r="G7" s="7" t="s">
        <v>178</v>
      </c>
      <c r="H7" s="7" t="s">
        <v>179</v>
      </c>
    </row>
    <row r="8" customFormat="false" ht="15" hidden="false" customHeight="true" outlineLevel="0" collapsed="false">
      <c r="A8" s="8" t="s">
        <v>184</v>
      </c>
      <c r="B8" s="7" t="s">
        <v>175</v>
      </c>
      <c r="C8" s="7" t="n">
        <v>3</v>
      </c>
      <c r="D8" s="10" t="n">
        <v>138595780</v>
      </c>
      <c r="E8" s="8" t="s">
        <v>185</v>
      </c>
      <c r="F8" s="8" t="s">
        <v>186</v>
      </c>
      <c r="G8" s="7" t="s">
        <v>187</v>
      </c>
      <c r="H8" s="7" t="s">
        <v>188</v>
      </c>
    </row>
    <row r="9" customFormat="false" ht="15" hidden="false" customHeight="true" outlineLevel="0" collapsed="false">
      <c r="A9" s="8" t="s">
        <v>189</v>
      </c>
      <c r="B9" s="7" t="s">
        <v>175</v>
      </c>
      <c r="C9" s="7" t="n">
        <v>2</v>
      </c>
      <c r="D9" s="10" t="n">
        <v>130876059</v>
      </c>
      <c r="E9" s="8" t="s">
        <v>190</v>
      </c>
      <c r="F9" s="8" t="s">
        <v>191</v>
      </c>
      <c r="G9" s="7" t="s">
        <v>192</v>
      </c>
      <c r="H9" s="7" t="s">
        <v>188</v>
      </c>
    </row>
    <row r="10" customFormat="false" ht="15" hidden="false" customHeight="true" outlineLevel="0" collapsed="false">
      <c r="A10" s="8" t="s">
        <v>193</v>
      </c>
      <c r="B10" s="7" t="s">
        <v>175</v>
      </c>
      <c r="C10" s="7" t="n">
        <v>2</v>
      </c>
      <c r="D10" s="10" t="n">
        <v>91166022</v>
      </c>
      <c r="E10" s="8" t="s">
        <v>190</v>
      </c>
      <c r="F10" s="8" t="s">
        <v>194</v>
      </c>
      <c r="G10" s="7" t="s">
        <v>195</v>
      </c>
      <c r="H10" s="7" t="s">
        <v>188</v>
      </c>
    </row>
    <row r="11" customFormat="false" ht="15" hidden="false" customHeight="true" outlineLevel="0" collapsed="false">
      <c r="A11" s="8" t="s">
        <v>196</v>
      </c>
      <c r="B11" s="7" t="s">
        <v>175</v>
      </c>
      <c r="C11" s="7" t="n">
        <v>2</v>
      </c>
      <c r="D11" s="10" t="n">
        <v>77587538</v>
      </c>
      <c r="E11" s="8" t="s">
        <v>190</v>
      </c>
      <c r="F11" s="8" t="s">
        <v>194</v>
      </c>
      <c r="G11" s="7" t="s">
        <v>195</v>
      </c>
      <c r="H11" s="7" t="s">
        <v>188</v>
      </c>
    </row>
    <row r="12" customFormat="false" ht="15" hidden="false" customHeight="true" outlineLevel="0" collapsed="false">
      <c r="A12" s="8" t="s">
        <v>197</v>
      </c>
      <c r="B12" s="7" t="s">
        <v>175</v>
      </c>
      <c r="C12" s="7" t="n">
        <v>1</v>
      </c>
      <c r="D12" s="10" t="n">
        <v>76733831</v>
      </c>
      <c r="E12" s="8" t="s">
        <v>198</v>
      </c>
      <c r="F12" s="8" t="s">
        <v>199</v>
      </c>
      <c r="G12" s="7" t="s">
        <v>200</v>
      </c>
      <c r="H12" s="7" t="s">
        <v>201</v>
      </c>
    </row>
    <row r="13" customFormat="false" ht="15" hidden="false" customHeight="true" outlineLevel="0" collapsed="false">
      <c r="A13" s="8" t="s">
        <v>202</v>
      </c>
      <c r="B13" s="7" t="s">
        <v>175</v>
      </c>
      <c r="C13" s="7" t="n">
        <v>3</v>
      </c>
      <c r="D13" s="10" t="n">
        <v>61047576</v>
      </c>
      <c r="E13" s="8" t="s">
        <v>203</v>
      </c>
      <c r="F13" s="8" t="s">
        <v>204</v>
      </c>
      <c r="G13" s="7" t="s">
        <v>192</v>
      </c>
      <c r="H13" s="7" t="s">
        <v>201</v>
      </c>
    </row>
    <row r="14" customFormat="false" ht="15" hidden="false" customHeight="true" outlineLevel="0" collapsed="false">
      <c r="A14" s="8" t="s">
        <v>205</v>
      </c>
      <c r="B14" s="7" t="s">
        <v>175</v>
      </c>
      <c r="C14" s="7" t="n">
        <v>3</v>
      </c>
      <c r="D14" s="10" t="n">
        <v>42903068</v>
      </c>
      <c r="E14" s="8" t="s">
        <v>203</v>
      </c>
      <c r="F14" s="8" t="s">
        <v>206</v>
      </c>
      <c r="G14" s="7" t="s">
        <v>192</v>
      </c>
      <c r="H14" s="7" t="s">
        <v>201</v>
      </c>
    </row>
    <row r="15" customFormat="false" ht="15" hidden="false" customHeight="true" outlineLevel="0" collapsed="false">
      <c r="A15" s="8" t="s">
        <v>207</v>
      </c>
      <c r="B15" s="7" t="s">
        <v>181</v>
      </c>
      <c r="C15" s="7" t="n">
        <v>1</v>
      </c>
      <c r="D15" s="10" t="n">
        <v>42814800</v>
      </c>
      <c r="E15" s="8" t="s">
        <v>198</v>
      </c>
      <c r="F15" s="8" t="s">
        <v>208</v>
      </c>
      <c r="G15" s="7" t="s">
        <v>209</v>
      </c>
      <c r="H15" s="7" t="s">
        <v>210</v>
      </c>
    </row>
    <row r="16" customFormat="false" ht="15" hidden="false" customHeight="true" outlineLevel="0" collapsed="false">
      <c r="A16" s="8" t="s">
        <v>211</v>
      </c>
      <c r="B16" s="7" t="s">
        <v>175</v>
      </c>
      <c r="C16" s="7" t="n">
        <v>3</v>
      </c>
      <c r="D16" s="10" t="n">
        <v>37038963</v>
      </c>
      <c r="E16" s="8" t="s">
        <v>212</v>
      </c>
      <c r="F16" s="8" t="s">
        <v>213</v>
      </c>
      <c r="G16" s="7" t="s">
        <v>187</v>
      </c>
      <c r="H16" s="7" t="s">
        <v>188</v>
      </c>
    </row>
    <row r="17" customFormat="false" ht="15" hidden="false" customHeight="true" outlineLevel="0" collapsed="false">
      <c r="A17" s="14" t="s">
        <v>214</v>
      </c>
      <c r="B17" s="7"/>
      <c r="C17" s="7"/>
      <c r="D17" s="15" t="n">
        <f aca="false">SUM(D6:D16)</f>
        <v>2150833459</v>
      </c>
      <c r="E17" s="7"/>
      <c r="F17" s="7"/>
      <c r="G17" s="7"/>
      <c r="H17" s="7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6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30"/>
  </cols>
  <sheetData>
    <row r="1" customFormat="false" ht="25.5" hidden="false" customHeight="true" outlineLevel="0" collapsed="false">
      <c r="A1" s="2" t="s">
        <v>215</v>
      </c>
      <c r="B1" s="2"/>
      <c r="C1" s="2"/>
      <c r="D1" s="2"/>
      <c r="E1" s="2"/>
    </row>
    <row r="3" customFormat="false" ht="15" hidden="false" customHeight="true" outlineLevel="0" collapsed="false">
      <c r="A3" s="9" t="s">
        <v>216</v>
      </c>
    </row>
    <row r="5" customFormat="false" ht="15" hidden="false" customHeight="true" outlineLevel="0" collapsed="false">
      <c r="A5" s="6" t="s">
        <v>217</v>
      </c>
      <c r="B5" s="6" t="s">
        <v>170</v>
      </c>
      <c r="C5" s="6" t="s">
        <v>218</v>
      </c>
      <c r="D5" s="6" t="s">
        <v>219</v>
      </c>
      <c r="E5" s="6" t="s">
        <v>220</v>
      </c>
    </row>
    <row r="6" customFormat="false" ht="15" hidden="false" customHeight="true" outlineLevel="0" collapsed="false">
      <c r="A6" s="8" t="s">
        <v>221</v>
      </c>
      <c r="B6" s="7" t="n">
        <v>1</v>
      </c>
      <c r="C6" s="10" t="n">
        <v>450000</v>
      </c>
      <c r="D6" s="13" t="n">
        <f aca="false">C6*B6*36</f>
        <v>16200000</v>
      </c>
      <c r="E6" s="7"/>
    </row>
    <row r="7" customFormat="false" ht="15" hidden="false" customHeight="true" outlineLevel="0" collapsed="false">
      <c r="A7" s="8" t="s">
        <v>222</v>
      </c>
      <c r="B7" s="7" t="n">
        <v>1</v>
      </c>
      <c r="C7" s="10" t="n">
        <v>380000</v>
      </c>
      <c r="D7" s="13" t="n">
        <f aca="false">C7*B7*36</f>
        <v>13680000</v>
      </c>
      <c r="E7" s="7"/>
    </row>
    <row r="8" customFormat="false" ht="15" hidden="false" customHeight="true" outlineLevel="0" collapsed="false">
      <c r="A8" s="8" t="s">
        <v>223</v>
      </c>
      <c r="B8" s="7" t="n">
        <v>2</v>
      </c>
      <c r="C8" s="10" t="n">
        <v>220000</v>
      </c>
      <c r="D8" s="13" t="n">
        <f aca="false">C8*B8*36</f>
        <v>15840000</v>
      </c>
      <c r="E8" s="7"/>
    </row>
    <row r="9" customFormat="false" ht="15" hidden="false" customHeight="true" outlineLevel="0" collapsed="false">
      <c r="A9" s="8" t="s">
        <v>224</v>
      </c>
      <c r="B9" s="7" t="n">
        <v>1</v>
      </c>
      <c r="C9" s="10" t="n">
        <v>220000</v>
      </c>
      <c r="D9" s="13" t="n">
        <f aca="false">C9*B9*36</f>
        <v>7920000</v>
      </c>
      <c r="E9" s="7"/>
    </row>
    <row r="10" customFormat="false" ht="15" hidden="false" customHeight="true" outlineLevel="0" collapsed="false">
      <c r="A10" s="8" t="s">
        <v>225</v>
      </c>
      <c r="B10" s="7" t="n">
        <v>3</v>
      </c>
      <c r="C10" s="10" t="n">
        <v>170000</v>
      </c>
      <c r="D10" s="13" t="n">
        <f aca="false">C10*B10*36</f>
        <v>18360000</v>
      </c>
      <c r="E10" s="7"/>
    </row>
    <row r="11" customFormat="false" ht="15" hidden="false" customHeight="true" outlineLevel="0" collapsed="false">
      <c r="A11" s="8" t="s">
        <v>226</v>
      </c>
      <c r="B11" s="7" t="n">
        <v>2</v>
      </c>
      <c r="C11" s="10" t="n">
        <v>130000</v>
      </c>
      <c r="D11" s="13" t="n">
        <f aca="false">C11*B11*36</f>
        <v>9360000</v>
      </c>
      <c r="E11" s="7"/>
    </row>
    <row r="12" customFormat="false" ht="15" hidden="false" customHeight="true" outlineLevel="0" collapsed="false">
      <c r="A12" s="8" t="s">
        <v>227</v>
      </c>
      <c r="B12" s="7" t="n">
        <v>1</v>
      </c>
      <c r="C12" s="10" t="n">
        <v>180000</v>
      </c>
      <c r="D12" s="13" t="n">
        <f aca="false">C12*B12*36</f>
        <v>6480000</v>
      </c>
      <c r="E12" s="7"/>
    </row>
    <row r="13" customFormat="false" ht="15" hidden="false" customHeight="true" outlineLevel="0" collapsed="false">
      <c r="A13" s="8" t="s">
        <v>228</v>
      </c>
      <c r="B13" s="7" t="n">
        <v>2</v>
      </c>
      <c r="C13" s="10" t="n">
        <v>120000</v>
      </c>
      <c r="D13" s="13" t="n">
        <f aca="false">C13*B13*36</f>
        <v>8640000</v>
      </c>
      <c r="E13" s="7"/>
    </row>
    <row r="14" customFormat="false" ht="15" hidden="false" customHeight="true" outlineLevel="0" collapsed="false">
      <c r="A14" s="8" t="s">
        <v>229</v>
      </c>
      <c r="B14" s="7" t="n">
        <v>1</v>
      </c>
      <c r="C14" s="10" t="n">
        <v>130000</v>
      </c>
      <c r="D14" s="13" t="n">
        <f aca="false">C14*B14*36</f>
        <v>4680000</v>
      </c>
      <c r="E14" s="7"/>
    </row>
    <row r="15" customFormat="false" ht="15" hidden="false" customHeight="true" outlineLevel="0" collapsed="false">
      <c r="A15" s="8" t="s">
        <v>230</v>
      </c>
      <c r="B15" s="7" t="n">
        <v>1</v>
      </c>
      <c r="C15" s="10" t="n">
        <v>150000</v>
      </c>
      <c r="D15" s="13" t="n">
        <f aca="false">C15*B15*36</f>
        <v>5400000</v>
      </c>
      <c r="E15" s="7"/>
    </row>
    <row r="16" customFormat="false" ht="15" hidden="false" customHeight="true" outlineLevel="0" collapsed="false">
      <c r="A16" s="8" t="s">
        <v>231</v>
      </c>
      <c r="B16" s="7" t="n">
        <v>1</v>
      </c>
      <c r="C16" s="10" t="n">
        <v>120000</v>
      </c>
      <c r="D16" s="13" t="n">
        <f aca="false">C16*B16*36</f>
        <v>4320000</v>
      </c>
      <c r="E16" s="7"/>
    </row>
    <row r="17" customFormat="false" ht="15" hidden="false" customHeight="true" outlineLevel="0" collapsed="false">
      <c r="A17" s="8" t="s">
        <v>232</v>
      </c>
      <c r="B17" s="7" t="n">
        <v>1</v>
      </c>
      <c r="C17" s="10" t="n">
        <v>120000</v>
      </c>
      <c r="D17" s="13" t="n">
        <f aca="false">C17*B17*36</f>
        <v>4320000</v>
      </c>
      <c r="E17" s="7"/>
    </row>
    <row r="18" customFormat="false" ht="15" hidden="false" customHeight="true" outlineLevel="0" collapsed="false">
      <c r="A18" s="8" t="s">
        <v>233</v>
      </c>
      <c r="B18" s="7" t="n">
        <v>1</v>
      </c>
      <c r="C18" s="10" t="n">
        <v>130000</v>
      </c>
      <c r="D18" s="13" t="n">
        <f aca="false">C18*B18*36</f>
        <v>4680000</v>
      </c>
      <c r="E18" s="7"/>
    </row>
    <row r="19" customFormat="false" ht="15" hidden="false" customHeight="true" outlineLevel="0" collapsed="false">
      <c r="A19" s="8" t="s">
        <v>234</v>
      </c>
      <c r="B19" s="7" t="n">
        <v>1</v>
      </c>
      <c r="C19" s="10" t="n">
        <v>70000</v>
      </c>
      <c r="D19" s="13" t="n">
        <f aca="false">C19*B19*36</f>
        <v>2520000</v>
      </c>
      <c r="E19" s="7"/>
    </row>
    <row r="20" customFormat="false" ht="23.25" hidden="false" customHeight="true" outlineLevel="0" collapsed="false">
      <c r="A20" s="8" t="s">
        <v>235</v>
      </c>
      <c r="B20" s="7" t="n">
        <v>3</v>
      </c>
      <c r="C20" s="10" t="n">
        <v>85000</v>
      </c>
      <c r="D20" s="13" t="n">
        <f aca="false">C20*B20*36</f>
        <v>9180000</v>
      </c>
      <c r="E20" s="7"/>
    </row>
    <row r="21" customFormat="false" ht="15" hidden="false" customHeight="true" outlineLevel="0" collapsed="false">
      <c r="A21" s="14" t="s">
        <v>236</v>
      </c>
      <c r="B21" s="7"/>
      <c r="C21" s="7"/>
      <c r="D21" s="15" t="n">
        <f aca="false">SUM(D6:D20)</f>
        <v>131580000</v>
      </c>
      <c r="E21" s="7"/>
    </row>
    <row r="23" customFormat="false" ht="15" hidden="false" customHeight="true" outlineLevel="0" collapsed="false">
      <c r="A23" s="9" t="s">
        <v>237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14"/>
    <col collapsed="false" customWidth="true" hidden="false" outlineLevel="0" max="4" min="4" style="1" width="26"/>
    <col collapsed="false" customWidth="true" hidden="false" outlineLevel="0" max="5" min="5" style="1" width="12"/>
  </cols>
  <sheetData>
    <row r="1" customFormat="false" ht="25.5" hidden="false" customHeight="true" outlineLevel="0" collapsed="false">
      <c r="A1" s="2" t="s">
        <v>238</v>
      </c>
      <c r="B1" s="2"/>
      <c r="C1" s="2"/>
      <c r="D1" s="2"/>
      <c r="E1" s="2"/>
    </row>
    <row r="3" customFormat="false" ht="15" hidden="false" customHeight="true" outlineLevel="0" collapsed="false">
      <c r="A3" s="6" t="s">
        <v>239</v>
      </c>
      <c r="B3" s="6" t="s">
        <v>57</v>
      </c>
      <c r="C3" s="6" t="s">
        <v>58</v>
      </c>
      <c r="D3" s="6" t="s">
        <v>240</v>
      </c>
      <c r="E3" s="6" t="s">
        <v>144</v>
      </c>
    </row>
    <row r="4" customFormat="false" ht="15" hidden="false" customHeight="true" outlineLevel="0" collapsed="false">
      <c r="A4" s="8" t="s">
        <v>241</v>
      </c>
      <c r="B4" s="7" t="s">
        <v>242</v>
      </c>
      <c r="C4" s="7" t="s">
        <v>243</v>
      </c>
      <c r="D4" s="7" t="s">
        <v>244</v>
      </c>
      <c r="E4" s="7" t="s">
        <v>245</v>
      </c>
    </row>
    <row r="5" customFormat="false" ht="15" hidden="false" customHeight="true" outlineLevel="0" collapsed="false">
      <c r="A5" s="8" t="s">
        <v>246</v>
      </c>
      <c r="B5" s="7" t="s">
        <v>247</v>
      </c>
      <c r="C5" s="7" t="s">
        <v>243</v>
      </c>
      <c r="D5" s="7" t="s">
        <v>244</v>
      </c>
      <c r="E5" s="7" t="s">
        <v>245</v>
      </c>
    </row>
    <row r="6" customFormat="false" ht="15" hidden="false" customHeight="true" outlineLevel="0" collapsed="false">
      <c r="A6" s="8" t="s">
        <v>248</v>
      </c>
      <c r="B6" s="7" t="s">
        <v>249</v>
      </c>
      <c r="C6" s="7" t="s">
        <v>243</v>
      </c>
      <c r="D6" s="7" t="s">
        <v>244</v>
      </c>
      <c r="E6" s="7" t="s">
        <v>245</v>
      </c>
    </row>
    <row r="7" customFormat="false" ht="15" hidden="false" customHeight="true" outlineLevel="0" collapsed="false">
      <c r="A7" s="8" t="s">
        <v>250</v>
      </c>
      <c r="B7" s="7" t="s">
        <v>251</v>
      </c>
      <c r="C7" s="7" t="s">
        <v>252</v>
      </c>
      <c r="D7" s="7" t="s">
        <v>253</v>
      </c>
      <c r="E7" s="7" t="s">
        <v>245</v>
      </c>
    </row>
    <row r="8" customFormat="false" ht="15" hidden="false" customHeight="true" outlineLevel="0" collapsed="false">
      <c r="A8" s="8" t="s">
        <v>254</v>
      </c>
      <c r="B8" s="7" t="s">
        <v>255</v>
      </c>
      <c r="C8" s="7" t="s">
        <v>256</v>
      </c>
      <c r="D8" s="7" t="s">
        <v>244</v>
      </c>
      <c r="E8" s="7" t="s">
        <v>245</v>
      </c>
    </row>
    <row r="9" customFormat="false" ht="15" hidden="false" customHeight="true" outlineLevel="0" collapsed="false">
      <c r="A9" s="8" t="s">
        <v>257</v>
      </c>
      <c r="B9" s="7" t="s">
        <v>258</v>
      </c>
      <c r="C9" s="7" t="s">
        <v>259</v>
      </c>
      <c r="D9" s="7" t="s">
        <v>253</v>
      </c>
      <c r="E9" s="7" t="s">
        <v>245</v>
      </c>
    </row>
    <row r="10" customFormat="false" ht="15" hidden="false" customHeight="true" outlineLevel="0" collapsed="false">
      <c r="A10" s="8" t="s">
        <v>260</v>
      </c>
      <c r="B10" s="7" t="s">
        <v>261</v>
      </c>
      <c r="C10" s="7" t="s">
        <v>262</v>
      </c>
      <c r="D10" s="7" t="s">
        <v>263</v>
      </c>
      <c r="E10" s="7" t="s">
        <v>245</v>
      </c>
    </row>
    <row r="11" customFormat="false" ht="15" hidden="false" customHeight="true" outlineLevel="0" collapsed="false">
      <c r="A11" s="8" t="s">
        <v>264</v>
      </c>
      <c r="B11" s="7" t="s">
        <v>265</v>
      </c>
      <c r="C11" s="7" t="s">
        <v>156</v>
      </c>
      <c r="D11" s="7" t="s">
        <v>263</v>
      </c>
      <c r="E11" s="7" t="s">
        <v>245</v>
      </c>
    </row>
    <row r="12" customFormat="false" ht="15" hidden="false" customHeight="true" outlineLevel="0" collapsed="false">
      <c r="A12" s="8" t="s">
        <v>266</v>
      </c>
      <c r="B12" s="7" t="s">
        <v>267</v>
      </c>
      <c r="C12" s="7" t="s">
        <v>156</v>
      </c>
      <c r="D12" s="7" t="s">
        <v>263</v>
      </c>
      <c r="E12" s="7" t="s">
        <v>245</v>
      </c>
    </row>
    <row r="13" customFormat="false" ht="15" hidden="false" customHeight="true" outlineLevel="0" collapsed="false">
      <c r="A13" s="8" t="s">
        <v>268</v>
      </c>
      <c r="B13" s="7" t="s">
        <v>269</v>
      </c>
      <c r="C13" s="7" t="s">
        <v>156</v>
      </c>
      <c r="D13" s="7" t="s">
        <v>270</v>
      </c>
      <c r="E13" s="7" t="s">
        <v>245</v>
      </c>
    </row>
    <row r="14" customFormat="false" ht="15" hidden="false" customHeight="true" outlineLevel="0" collapsed="false">
      <c r="A14" s="8" t="s">
        <v>271</v>
      </c>
      <c r="B14" s="7" t="s">
        <v>272</v>
      </c>
      <c r="C14" s="7" t="s">
        <v>156</v>
      </c>
      <c r="D14" s="7" t="s">
        <v>273</v>
      </c>
      <c r="E14" s="7" t="s">
        <v>159</v>
      </c>
    </row>
    <row r="15" customFormat="false" ht="15" hidden="false" customHeight="true" outlineLevel="0" collapsed="false">
      <c r="A15" s="8" t="s">
        <v>274</v>
      </c>
      <c r="B15" s="7" t="s">
        <v>275</v>
      </c>
      <c r="C15" s="7" t="s">
        <v>156</v>
      </c>
      <c r="D15" s="7" t="s">
        <v>276</v>
      </c>
      <c r="E15" s="7" t="s">
        <v>159</v>
      </c>
    </row>
    <row r="16" customFormat="false" ht="15" hidden="false" customHeight="true" outlineLevel="0" collapsed="false">
      <c r="A16" s="8" t="s">
        <v>277</v>
      </c>
      <c r="B16" s="7" t="s">
        <v>278</v>
      </c>
      <c r="C16" s="7" t="s">
        <v>156</v>
      </c>
      <c r="D16" s="7" t="s">
        <v>273</v>
      </c>
      <c r="E16" s="7" t="s">
        <v>159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6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5" min="5" style="1" width="4"/>
  </cols>
  <sheetData>
    <row r="1" customFormat="false" ht="25.5" hidden="false" customHeight="true" outlineLevel="0" collapsed="false">
      <c r="A1" s="2" t="s">
        <v>279</v>
      </c>
      <c r="B1" s="2"/>
      <c r="C1" s="2"/>
      <c r="D1" s="2"/>
      <c r="E1" s="2"/>
    </row>
    <row r="3" customFormat="false" ht="15" hidden="false" customHeight="true" outlineLevel="0" collapsed="false">
      <c r="A3" s="9" t="s">
        <v>280</v>
      </c>
    </row>
    <row r="5" customFormat="false" ht="15" hidden="false" customHeight="true" outlineLevel="0" collapsed="false">
      <c r="A5" s="5" t="s">
        <v>281</v>
      </c>
      <c r="B5" s="5"/>
      <c r="C5" s="5"/>
      <c r="D5" s="5"/>
      <c r="E5" s="5"/>
    </row>
    <row r="6" customFormat="false" ht="45.75" hidden="false" customHeight="true" outlineLevel="0" collapsed="false">
      <c r="A6" s="6" t="s">
        <v>282</v>
      </c>
      <c r="B6" s="6" t="s">
        <v>283</v>
      </c>
      <c r="C6" s="6" t="s">
        <v>284</v>
      </c>
      <c r="D6" s="6" t="s">
        <v>285</v>
      </c>
      <c r="E6" s="6" t="s">
        <v>286</v>
      </c>
    </row>
    <row r="7" customFormat="false" ht="15" hidden="false" customHeight="true" outlineLevel="0" collapsed="false">
      <c r="A7" s="8" t="s">
        <v>287</v>
      </c>
      <c r="B7" s="10" t="n">
        <v>23773000</v>
      </c>
      <c r="C7" s="7" t="s">
        <v>288</v>
      </c>
      <c r="D7" s="7" t="s">
        <v>289</v>
      </c>
      <c r="E7" s="18" t="n">
        <f aca="false">B7/Параметры_объект!$C$7</f>
        <v>0.00593901225195694</v>
      </c>
    </row>
    <row r="8" customFormat="false" ht="15" hidden="false" customHeight="true" outlineLevel="0" collapsed="false">
      <c r="A8" s="8" t="s">
        <v>290</v>
      </c>
      <c r="B8" s="10" t="n">
        <v>19155000</v>
      </c>
      <c r="C8" s="7" t="s">
        <v>288</v>
      </c>
      <c r="D8" s="7" t="s">
        <v>291</v>
      </c>
      <c r="E8" s="18" t="n">
        <f aca="false">B8/Параметры_объект!$C$7</f>
        <v>0.00478533545140433</v>
      </c>
    </row>
    <row r="9" customFormat="false" ht="15" hidden="false" customHeight="true" outlineLevel="0" collapsed="false">
      <c r="A9" s="8" t="s">
        <v>292</v>
      </c>
      <c r="B9" s="10" t="n">
        <v>122400000</v>
      </c>
      <c r="C9" s="7" t="s">
        <v>293</v>
      </c>
      <c r="D9" s="7" t="s">
        <v>294</v>
      </c>
      <c r="E9" s="18" t="n">
        <f aca="false">B9/Параметры_объект!$C$7</f>
        <v>0.0305781811146902</v>
      </c>
    </row>
    <row r="10" customFormat="false" ht="15" hidden="false" customHeight="true" outlineLevel="0" collapsed="false">
      <c r="A10" s="8" t="s">
        <v>295</v>
      </c>
      <c r="B10" s="10" t="n">
        <v>24541200</v>
      </c>
      <c r="C10" s="7" t="s">
        <v>293</v>
      </c>
      <c r="D10" s="7" t="s">
        <v>296</v>
      </c>
      <c r="E10" s="18" t="n">
        <f aca="false">B10/Параметры_объект!$C$7</f>
        <v>0.00613092531349538</v>
      </c>
    </row>
    <row r="11" customFormat="false" ht="15" hidden="false" customHeight="true" outlineLevel="0" collapsed="false">
      <c r="A11" s="8" t="s">
        <v>297</v>
      </c>
      <c r="B11" s="10" t="n">
        <v>10179000</v>
      </c>
      <c r="C11" s="7" t="s">
        <v>293</v>
      </c>
      <c r="D11" s="7" t="s">
        <v>298</v>
      </c>
      <c r="E11" s="18" t="n">
        <f aca="false">B11/Параметры_объект!$C$7</f>
        <v>0.00254293550299372</v>
      </c>
    </row>
    <row r="12" customFormat="false" ht="23.25" hidden="false" customHeight="true" outlineLevel="0" collapsed="false">
      <c r="A12" s="8" t="s">
        <v>299</v>
      </c>
      <c r="B12" s="10" t="n">
        <v>36148000</v>
      </c>
      <c r="C12" s="7" t="s">
        <v>300</v>
      </c>
      <c r="D12" s="7" t="s">
        <v>301</v>
      </c>
      <c r="E12" s="18" t="n">
        <f aca="false">B12/Параметры_объект!$C$7</f>
        <v>0.00903055629847892</v>
      </c>
    </row>
    <row r="13" customFormat="false" ht="15" hidden="false" customHeight="true" outlineLevel="0" collapsed="false">
      <c r="A13" s="14" t="s">
        <v>302</v>
      </c>
      <c r="B13" s="15" t="n">
        <f aca="false">SUM(B7:B12)</f>
        <v>236196200</v>
      </c>
      <c r="C13" s="7"/>
      <c r="D13" s="7"/>
      <c r="E13" s="18" t="n">
        <f aca="false">B13/Параметры_объект!$C$7</f>
        <v>0.0590069459330194</v>
      </c>
    </row>
    <row r="15" customFormat="false" ht="15" hidden="false" customHeight="true" outlineLevel="0" collapsed="false">
      <c r="A15" s="5" t="s">
        <v>303</v>
      </c>
      <c r="B15" s="5"/>
      <c r="C15" s="5"/>
      <c r="D15" s="5"/>
      <c r="E15" s="5"/>
    </row>
    <row r="16" customFormat="false" ht="15" hidden="false" customHeight="true" outlineLevel="0" collapsed="false">
      <c r="A16" s="6" t="s">
        <v>304</v>
      </c>
      <c r="B16" s="6" t="s">
        <v>283</v>
      </c>
      <c r="C16" s="6" t="s">
        <v>305</v>
      </c>
      <c r="D16" s="6"/>
      <c r="E16" s="6"/>
    </row>
    <row r="17" customFormat="false" ht="15" hidden="false" customHeight="true" outlineLevel="0" collapsed="false">
      <c r="A17" s="8" t="s">
        <v>306</v>
      </c>
      <c r="B17" s="19" t="n">
        <f aca="false">Параметры_объект!$C$7</f>
        <v>4002854177</v>
      </c>
      <c r="C17" s="18" t="n">
        <f aca="false">B17/Параметры_объект!$C$7</f>
        <v>1</v>
      </c>
      <c r="D17" s="7"/>
      <c r="E17" s="7"/>
    </row>
    <row r="18" customFormat="false" ht="15" hidden="false" customHeight="true" outlineLevel="0" collapsed="false">
      <c r="A18" s="8" t="s">
        <v>307</v>
      </c>
      <c r="B18" s="19" t="n">
        <f aca="false">-Параметры_объект!$C$7*Параметры_объект!$C$8/(1+Параметры_объект!$C$8)</f>
        <v>-721826163.065574</v>
      </c>
      <c r="C18" s="18" t="n">
        <f aca="false">B18/Параметры_объект!$C$7</f>
        <v>-0.180327868852459</v>
      </c>
      <c r="D18" s="7"/>
      <c r="E18" s="7"/>
    </row>
    <row r="19" customFormat="false" ht="15" hidden="false" customHeight="true" outlineLevel="0" collapsed="false">
      <c r="A19" s="20" t="s">
        <v>308</v>
      </c>
      <c r="B19" s="21" t="n">
        <f aca="false">Параметры_объект!$C$7/(1+Параметры_объект!$C$8)</f>
        <v>3281028013.93443</v>
      </c>
      <c r="C19" s="18" t="n">
        <f aca="false">B19/Параметры_объект!$C$7</f>
        <v>0.819672131147541</v>
      </c>
      <c r="D19" s="7"/>
      <c r="E19" s="7"/>
    </row>
    <row r="20" customFormat="false" ht="15" hidden="false" customHeight="true" outlineLevel="0" collapsed="false">
      <c r="A20" s="8" t="s">
        <v>309</v>
      </c>
      <c r="B20" s="19" t="n">
        <f aca="false">-Параметры_объект!$C$18</f>
        <v>-177950820</v>
      </c>
      <c r="C20" s="18" t="n">
        <f aca="false">B20/Параметры_объект!$C$7</f>
        <v>-0.044455983688461</v>
      </c>
      <c r="D20" s="7"/>
      <c r="E20" s="7"/>
    </row>
    <row r="21" customFormat="false" ht="15" hidden="false" customHeight="true" outlineLevel="0" collapsed="false">
      <c r="A21" s="8" t="s">
        <v>310</v>
      </c>
      <c r="B21" s="19" t="n">
        <f aca="false">-Параметры_объект!$C$19</f>
        <v>-523852459</v>
      </c>
      <c r="C21" s="18" t="n">
        <f aca="false">B21/Параметры_объект!$C$7</f>
        <v>-0.13086973340423</v>
      </c>
      <c r="D21" s="7"/>
      <c r="E21" s="7"/>
    </row>
    <row r="22" customFormat="false" ht="15" hidden="false" customHeight="true" outlineLevel="0" collapsed="false">
      <c r="A22" s="8" t="s">
        <v>311</v>
      </c>
      <c r="B22" s="19" t="n">
        <f aca="false">-Параметры_объект!$C$20</f>
        <v>-1999754098</v>
      </c>
      <c r="C22" s="18" t="n">
        <f aca="false">B22/Параметры_объект!$C$7</f>
        <v>-0.499582050600391</v>
      </c>
      <c r="D22" s="7"/>
      <c r="E22" s="7"/>
    </row>
    <row r="23" customFormat="false" ht="15" hidden="false" customHeight="true" outlineLevel="0" collapsed="false">
      <c r="A23" s="8" t="s">
        <v>312</v>
      </c>
      <c r="B23" s="19" t="n">
        <f aca="false">-Параметры_объект!$C$21</f>
        <v>-277868852</v>
      </c>
      <c r="C23" s="18" t="n">
        <f aca="false">B23/Параметры_объект!$C$7</f>
        <v>-0.0694176804132928</v>
      </c>
      <c r="D23" s="7"/>
      <c r="E23" s="7"/>
    </row>
    <row r="24" customFormat="false" ht="15" hidden="false" customHeight="true" outlineLevel="0" collapsed="false">
      <c r="A24" s="20" t="s">
        <v>313</v>
      </c>
      <c r="B24" s="21" t="n">
        <f aca="false">B19+B20+B21+B22+B23</f>
        <v>301601784.934426</v>
      </c>
      <c r="C24" s="18" t="n">
        <f aca="false">B24/Параметры_объект!$C$7</f>
        <v>0.075346683041166</v>
      </c>
      <c r="D24" s="7"/>
      <c r="E24" s="7"/>
    </row>
    <row r="25" customFormat="false" ht="15" hidden="false" customHeight="true" outlineLevel="0" collapsed="false">
      <c r="A25" s="8" t="s">
        <v>314</v>
      </c>
      <c r="B25" s="19" t="n">
        <f aca="false">-B13</f>
        <v>-236196200</v>
      </c>
      <c r="C25" s="18" t="n">
        <f aca="false">B25/Параметры_объект!$C$7</f>
        <v>-0.0590069459330194</v>
      </c>
      <c r="D25" s="7"/>
      <c r="E25" s="7"/>
    </row>
    <row r="26" customFormat="false" ht="15" hidden="false" customHeight="true" outlineLevel="0" collapsed="false">
      <c r="A26" s="8" t="s">
        <v>315</v>
      </c>
      <c r="B26" s="19" t="n">
        <f aca="false">-B19*Параметры_объект!$C$13</f>
        <v>-65620560.2786885</v>
      </c>
      <c r="C26" s="18" t="n">
        <f aca="false">B26/Параметры_объект!$C$7</f>
        <v>-0.0163934426229508</v>
      </c>
      <c r="D26" s="7"/>
      <c r="E26" s="7"/>
    </row>
    <row r="27" customFormat="false" ht="15" hidden="false" customHeight="true" outlineLevel="0" collapsed="false">
      <c r="A27" s="8" t="s">
        <v>316</v>
      </c>
      <c r="B27" s="19" t="n">
        <f aca="false">-Параметры_объект!$C$7/(1+Параметры_объект!$C$8)*Параметры_объект!$C$11*Параметры_объект!$C$14*0.8</f>
        <v>-26248224.1114754</v>
      </c>
      <c r="C27" s="18" t="n">
        <f aca="false">B27/Параметры_объект!$C$7</f>
        <v>-0.00655737704918033</v>
      </c>
      <c r="D27" s="7"/>
      <c r="E27" s="7"/>
    </row>
    <row r="28" customFormat="false" ht="15" hidden="false" customHeight="true" outlineLevel="0" collapsed="false">
      <c r="A28" s="8" t="s">
        <v>317</v>
      </c>
      <c r="B28" s="22" t="n">
        <v>-16306797</v>
      </c>
      <c r="C28" s="18" t="n">
        <f aca="false">B28/Параметры_объект!$C$7</f>
        <v>-0.00407379241884384</v>
      </c>
      <c r="D28" s="7"/>
      <c r="E28" s="7"/>
    </row>
    <row r="29" customFormat="false" ht="15" hidden="false" customHeight="true" outlineLevel="0" collapsed="false">
      <c r="A29" s="20" t="s">
        <v>318</v>
      </c>
      <c r="B29" s="21" t="n">
        <f aca="false">B24+B25+B26+B27+B28</f>
        <v>-42769996.4557376</v>
      </c>
      <c r="C29" s="18" t="n">
        <f aca="false">B29/Параметры_объект!$C$7</f>
        <v>-0.0106848749828284</v>
      </c>
      <c r="D29" s="7"/>
      <c r="E29" s="7"/>
    </row>
    <row r="31" customFormat="false" ht="15" hidden="false" customHeight="true" outlineLevel="0" collapsed="false">
      <c r="A31" s="9" t="s">
        <v>319</v>
      </c>
    </row>
    <row r="33" customFormat="false" ht="15" hidden="false" customHeight="true" outlineLevel="0" collapsed="false">
      <c r="A33" s="5" t="s">
        <v>320</v>
      </c>
      <c r="B33" s="5"/>
      <c r="C33" s="5"/>
      <c r="D33" s="5"/>
      <c r="E33" s="5"/>
    </row>
    <row r="34" customFormat="false" ht="15" hidden="false" customHeight="true" outlineLevel="0" collapsed="false">
      <c r="A34" s="6" t="s">
        <v>321</v>
      </c>
      <c r="B34" s="6" t="s">
        <v>322</v>
      </c>
      <c r="C34" s="6" t="s">
        <v>323</v>
      </c>
      <c r="D34" s="6" t="s">
        <v>144</v>
      </c>
      <c r="E34" s="6"/>
    </row>
    <row r="35" customFormat="false" ht="15" hidden="false" customHeight="true" outlineLevel="0" collapsed="false">
      <c r="A35" s="14" t="s">
        <v>324</v>
      </c>
      <c r="B35" s="21" t="n">
        <f aca="false">B29</f>
        <v>-42769996.4557376</v>
      </c>
      <c r="C35" s="7" t="s">
        <v>325</v>
      </c>
      <c r="D35" s="7"/>
      <c r="E35" s="7"/>
    </row>
    <row r="36" customFormat="false" ht="15" hidden="false" customHeight="true" outlineLevel="0" collapsed="false">
      <c r="A36" s="8" t="s">
        <v>326</v>
      </c>
      <c r="B36" s="10" t="n">
        <v>244000000</v>
      </c>
      <c r="C36" s="7" t="s">
        <v>327</v>
      </c>
      <c r="D36" s="7" t="s">
        <v>328</v>
      </c>
      <c r="E36" s="7"/>
    </row>
    <row r="37" customFormat="false" ht="15" hidden="false" customHeight="true" outlineLevel="0" collapsed="false">
      <c r="A37" s="8" t="s">
        <v>329</v>
      </c>
      <c r="B37" s="10" t="n">
        <v>60300000</v>
      </c>
      <c r="C37" s="7" t="s">
        <v>330</v>
      </c>
      <c r="D37" s="7" t="s">
        <v>331</v>
      </c>
      <c r="E37" s="7"/>
    </row>
    <row r="38" customFormat="false" ht="15" hidden="false" customHeight="true" outlineLevel="0" collapsed="false">
      <c r="A38" s="8" t="s">
        <v>332</v>
      </c>
      <c r="B38" s="10" t="n">
        <v>39000000</v>
      </c>
      <c r="C38" s="7" t="s">
        <v>333</v>
      </c>
      <c r="D38" s="7" t="s">
        <v>334</v>
      </c>
      <c r="E38" s="7"/>
    </row>
    <row r="39" customFormat="false" ht="15" hidden="false" customHeight="true" outlineLevel="0" collapsed="false">
      <c r="A39" s="8" t="s">
        <v>335</v>
      </c>
      <c r="B39" s="10" t="n">
        <v>30000000</v>
      </c>
      <c r="C39" s="7" t="s">
        <v>336</v>
      </c>
      <c r="D39" s="7" t="s">
        <v>337</v>
      </c>
      <c r="E39" s="7"/>
    </row>
    <row r="40" customFormat="false" ht="15" hidden="false" customHeight="true" outlineLevel="0" collapsed="false">
      <c r="A40" s="8" t="s">
        <v>338</v>
      </c>
      <c r="B40" s="10" t="n">
        <v>30000000</v>
      </c>
      <c r="C40" s="7" t="s">
        <v>339</v>
      </c>
      <c r="D40" s="7" t="s">
        <v>340</v>
      </c>
      <c r="E40" s="7"/>
    </row>
    <row r="41" customFormat="false" ht="15" hidden="false" customHeight="true" outlineLevel="0" collapsed="false">
      <c r="A41" s="8" t="s">
        <v>341</v>
      </c>
      <c r="B41" s="10" t="n">
        <v>10000000</v>
      </c>
      <c r="C41" s="7" t="s">
        <v>342</v>
      </c>
      <c r="D41" s="7" t="s">
        <v>343</v>
      </c>
      <c r="E41" s="7"/>
    </row>
    <row r="42" customFormat="false" ht="15" hidden="false" customHeight="true" outlineLevel="0" collapsed="false">
      <c r="A42" s="14" t="s">
        <v>344</v>
      </c>
      <c r="B42" s="21" t="n">
        <f aca="false">SUM(B35:B41)</f>
        <v>370530003.544262</v>
      </c>
      <c r="C42" s="7" t="s">
        <v>345</v>
      </c>
      <c r="D42" s="7" t="s">
        <v>346</v>
      </c>
      <c r="E42" s="7"/>
    </row>
    <row r="43" customFormat="false" ht="15" hidden="false" customHeight="true" outlineLevel="0" collapsed="false">
      <c r="A43" s="9" t="s">
        <v>347</v>
      </c>
    </row>
  </sheetData>
  <mergeCells count="4">
    <mergeCell ref="A1:E1"/>
    <mergeCell ref="A5:E5"/>
    <mergeCell ref="A15:E15"/>
    <mergeCell ref="A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78"/>
  </cols>
  <sheetData>
    <row r="1" customFormat="false" ht="25.5" hidden="false" customHeight="true" outlineLevel="0" collapsed="false">
      <c r="A1" s="2" t="s">
        <v>348</v>
      </c>
      <c r="B1" s="2"/>
      <c r="C1" s="2"/>
    </row>
    <row r="3" customFormat="false" ht="23.25" hidden="false" customHeight="true" outlineLevel="0" collapsed="false">
      <c r="A3" s="23" t="s">
        <v>349</v>
      </c>
      <c r="B3" s="8" t="s">
        <v>350</v>
      </c>
    </row>
    <row r="4" customFormat="false" ht="23.25" hidden="false" customHeight="true" outlineLevel="0" collapsed="false">
      <c r="A4" s="23" t="s">
        <v>351</v>
      </c>
      <c r="B4" s="8" t="s">
        <v>352</v>
      </c>
    </row>
    <row r="5" customFormat="false" ht="23.25" hidden="false" customHeight="true" outlineLevel="0" collapsed="false">
      <c r="A5" s="23" t="s">
        <v>353</v>
      </c>
      <c r="B5" s="8" t="s">
        <v>354</v>
      </c>
    </row>
    <row r="6" customFormat="false" ht="23.25" hidden="false" customHeight="true" outlineLevel="0" collapsed="false">
      <c r="A6" s="23" t="s">
        <v>355</v>
      </c>
      <c r="B6" s="8" t="s">
        <v>356</v>
      </c>
    </row>
    <row r="7" customFormat="false" ht="15" hidden="false" customHeight="true" outlineLevel="0" collapsed="false">
      <c r="A7" s="23" t="s">
        <v>357</v>
      </c>
      <c r="B7" s="8" t="s">
        <v>358</v>
      </c>
    </row>
    <row r="8" customFormat="false" ht="23.25" hidden="false" customHeight="true" outlineLevel="0" collapsed="false">
      <c r="A8" s="23" t="s">
        <v>359</v>
      </c>
      <c r="B8" s="8" t="s">
        <v>360</v>
      </c>
    </row>
    <row r="9" customFormat="false" ht="15" hidden="false" customHeight="true" outlineLevel="0" collapsed="false">
      <c r="A9" s="23" t="s">
        <v>361</v>
      </c>
      <c r="B9" s="8" t="s">
        <v>362</v>
      </c>
    </row>
    <row r="10" customFormat="false" ht="23.25" hidden="false" customHeight="true" outlineLevel="0" collapsed="false">
      <c r="A10" s="23" t="s">
        <v>363</v>
      </c>
      <c r="B10" s="8" t="s">
        <v>364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44"/>
    <col collapsed="false" customWidth="true" hidden="false" outlineLevel="0" max="4" min="4" style="1" width="20"/>
  </cols>
  <sheetData>
    <row r="1" customFormat="false" ht="25.5" hidden="false" customHeight="true" outlineLevel="0" collapsed="false">
      <c r="A1" s="2" t="s">
        <v>365</v>
      </c>
      <c r="B1" s="2"/>
      <c r="C1" s="2"/>
      <c r="D1" s="2"/>
    </row>
    <row r="3" customFormat="false" ht="15" hidden="false" customHeight="true" outlineLevel="0" collapsed="false">
      <c r="A3" s="6" t="s">
        <v>366</v>
      </c>
      <c r="B3" s="6" t="s">
        <v>144</v>
      </c>
      <c r="C3" s="6" t="s">
        <v>367</v>
      </c>
      <c r="D3" s="6" t="s">
        <v>368</v>
      </c>
    </row>
    <row r="4" customFormat="false" ht="15" hidden="false" customHeight="true" outlineLevel="0" collapsed="false">
      <c r="A4" s="7" t="s">
        <v>369</v>
      </c>
      <c r="B4" s="7" t="s">
        <v>370</v>
      </c>
      <c r="C4" s="8" t="s">
        <v>371</v>
      </c>
      <c r="D4" s="7" t="s">
        <v>372</v>
      </c>
    </row>
    <row r="5" customFormat="false" ht="15" hidden="false" customHeight="true" outlineLevel="0" collapsed="false">
      <c r="A5" s="7" t="s">
        <v>373</v>
      </c>
      <c r="B5" s="7" t="s">
        <v>370</v>
      </c>
      <c r="C5" s="8" t="s">
        <v>374</v>
      </c>
      <c r="D5" s="7" t="s">
        <v>375</v>
      </c>
    </row>
    <row r="6" customFormat="false" ht="23.25" hidden="false" customHeight="true" outlineLevel="0" collapsed="false">
      <c r="A6" s="7" t="s">
        <v>376</v>
      </c>
      <c r="B6" s="7" t="s">
        <v>377</v>
      </c>
      <c r="C6" s="8" t="s">
        <v>378</v>
      </c>
      <c r="D6" s="7" t="s">
        <v>379</v>
      </c>
    </row>
    <row r="7" customFormat="false" ht="15" hidden="false" customHeight="true" outlineLevel="0" collapsed="false">
      <c r="A7" s="7" t="s">
        <v>380</v>
      </c>
      <c r="B7" s="7" t="s">
        <v>370</v>
      </c>
      <c r="C7" s="8" t="s">
        <v>381</v>
      </c>
      <c r="D7" s="7" t="s">
        <v>382</v>
      </c>
    </row>
    <row r="8" customFormat="false" ht="15" hidden="false" customHeight="true" outlineLevel="0" collapsed="false">
      <c r="A8" s="7" t="s">
        <v>383</v>
      </c>
      <c r="B8" s="7" t="s">
        <v>384</v>
      </c>
      <c r="C8" s="8" t="s">
        <v>385</v>
      </c>
      <c r="D8" s="7" t="s">
        <v>386</v>
      </c>
    </row>
    <row r="9" customFormat="false" ht="15" hidden="false" customHeight="true" outlineLevel="0" collapsed="false">
      <c r="A9" s="7" t="s">
        <v>387</v>
      </c>
      <c r="B9" s="7" t="s">
        <v>370</v>
      </c>
      <c r="C9" s="8" t="s">
        <v>388</v>
      </c>
      <c r="D9" s="7" t="s">
        <v>389</v>
      </c>
    </row>
    <row r="10" customFormat="false" ht="23.25" hidden="false" customHeight="true" outlineLevel="0" collapsed="false">
      <c r="A10" s="7" t="s">
        <v>333</v>
      </c>
      <c r="B10" s="7" t="s">
        <v>390</v>
      </c>
      <c r="C10" s="8" t="s">
        <v>391</v>
      </c>
      <c r="D10" s="7" t="s">
        <v>392</v>
      </c>
    </row>
    <row r="11" customFormat="false" ht="15" hidden="false" customHeight="true" outlineLevel="0" collapsed="false">
      <c r="A11" s="7" t="s">
        <v>393</v>
      </c>
      <c r="B11" s="7" t="s">
        <v>394</v>
      </c>
      <c r="C11" s="8" t="s">
        <v>395</v>
      </c>
      <c r="D11" s="7" t="s">
        <v>396</v>
      </c>
    </row>
    <row r="12" customFormat="false" ht="15" hidden="false" customHeight="true" outlineLevel="0" collapsed="false">
      <c r="A12" s="7" t="s">
        <v>397</v>
      </c>
      <c r="B12" s="7" t="s">
        <v>394</v>
      </c>
      <c r="C12" s="8" t="s">
        <v>398</v>
      </c>
      <c r="D12" s="7" t="s">
        <v>396</v>
      </c>
    </row>
    <row r="13" customFormat="false" ht="15" hidden="false" customHeight="true" outlineLevel="0" collapsed="false">
      <c r="A13" s="7" t="s">
        <v>399</v>
      </c>
      <c r="B13" s="7" t="s">
        <v>394</v>
      </c>
      <c r="C13" s="8" t="s">
        <v>400</v>
      </c>
      <c r="D13" s="7" t="s">
        <v>396</v>
      </c>
    </row>
    <row r="14" customFormat="false" ht="15" hidden="false" customHeight="true" outlineLevel="0" collapsed="false">
      <c r="A14" s="7" t="s">
        <v>401</v>
      </c>
      <c r="B14" s="7" t="s">
        <v>394</v>
      </c>
      <c r="C14" s="8" t="s">
        <v>402</v>
      </c>
      <c r="D14" s="7" t="s">
        <v>403</v>
      </c>
    </row>
    <row r="15" customFormat="false" ht="15" hidden="false" customHeight="true" outlineLevel="0" collapsed="false">
      <c r="A15" s="7" t="s">
        <v>404</v>
      </c>
      <c r="B15" s="7" t="s">
        <v>394</v>
      </c>
      <c r="C15" s="8" t="s">
        <v>405</v>
      </c>
      <c r="D15" s="7" t="s">
        <v>403</v>
      </c>
    </row>
    <row r="16" customFormat="false" ht="23.25" hidden="false" customHeight="true" outlineLevel="0" collapsed="false">
      <c r="A16" s="7" t="s">
        <v>406</v>
      </c>
      <c r="B16" s="7" t="s">
        <v>407</v>
      </c>
      <c r="C16" s="8" t="s">
        <v>408</v>
      </c>
      <c r="D16" s="7" t="s">
        <v>409</v>
      </c>
    </row>
    <row r="17" customFormat="false" ht="23.25" hidden="false" customHeight="true" outlineLevel="0" collapsed="false">
      <c r="A17" s="7" t="s">
        <v>410</v>
      </c>
      <c r="B17" s="7" t="s">
        <v>411</v>
      </c>
      <c r="C17" s="8" t="s">
        <v>412</v>
      </c>
      <c r="D17" s="7" t="s">
        <v>413</v>
      </c>
    </row>
    <row r="18" customFormat="false" ht="23.25" hidden="false" customHeight="true" outlineLevel="0" collapsed="false">
      <c r="A18" s="7" t="s">
        <v>414</v>
      </c>
      <c r="B18" s="7" t="s">
        <v>411</v>
      </c>
      <c r="C18" s="8" t="s">
        <v>415</v>
      </c>
      <c r="D18" s="7" t="s">
        <v>416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8"/>
    <col collapsed="false" customWidth="true" hidden="false" outlineLevel="0" max="7" min="7" style="1" width="40"/>
  </cols>
  <sheetData>
    <row r="1" customFormat="false" ht="25.5" hidden="false" customHeight="true" outlineLevel="0" collapsed="false">
      <c r="A1" s="2" t="s">
        <v>417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6" t="s">
        <v>418</v>
      </c>
      <c r="B3" s="6" t="s">
        <v>419</v>
      </c>
      <c r="C3" s="6" t="s">
        <v>420</v>
      </c>
      <c r="D3" s="6" t="s">
        <v>421</v>
      </c>
      <c r="E3" s="6" t="s">
        <v>217</v>
      </c>
      <c r="F3" s="6" t="s">
        <v>422</v>
      </c>
      <c r="G3" s="6" t="s">
        <v>423</v>
      </c>
    </row>
    <row r="4" customFormat="false" ht="23.25" hidden="false" customHeight="true" outlineLevel="0" collapsed="false">
      <c r="A4" s="7" t="s">
        <v>424</v>
      </c>
      <c r="B4" s="8" t="s">
        <v>425</v>
      </c>
      <c r="C4" s="7" t="s">
        <v>403</v>
      </c>
      <c r="D4" s="13" t="n">
        <v>4002854177</v>
      </c>
      <c r="E4" s="7" t="s">
        <v>426</v>
      </c>
      <c r="F4" s="7" t="s">
        <v>427</v>
      </c>
      <c r="G4" s="8" t="s">
        <v>428</v>
      </c>
    </row>
    <row r="5" customFormat="false" ht="15" hidden="false" customHeight="true" outlineLevel="0" collapsed="false">
      <c r="A5" s="7" t="s">
        <v>429</v>
      </c>
      <c r="B5" s="8" t="s">
        <v>430</v>
      </c>
      <c r="C5" s="7" t="s">
        <v>431</v>
      </c>
      <c r="D5" s="7" t="s">
        <v>156</v>
      </c>
      <c r="E5" s="7" t="s">
        <v>426</v>
      </c>
      <c r="F5" s="7" t="s">
        <v>432</v>
      </c>
      <c r="G5" s="8" t="s">
        <v>433</v>
      </c>
    </row>
    <row r="6" customFormat="false" ht="23.25" hidden="false" customHeight="true" outlineLevel="0" collapsed="false">
      <c r="A6" s="7" t="s">
        <v>434</v>
      </c>
      <c r="B6" s="8" t="s">
        <v>435</v>
      </c>
      <c r="C6" s="7" t="s">
        <v>436</v>
      </c>
      <c r="D6" s="7" t="s">
        <v>156</v>
      </c>
      <c r="E6" s="7" t="s">
        <v>426</v>
      </c>
      <c r="F6" s="7" t="s">
        <v>432</v>
      </c>
      <c r="G6" s="8" t="s">
        <v>437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0"/>
  </cols>
  <sheetData>
    <row r="1" customFormat="false" ht="25.5" hidden="false" customHeight="true" outlineLevel="0" collapsed="false">
      <c r="A1" s="2" t="s">
        <v>438</v>
      </c>
      <c r="B1" s="2"/>
    </row>
    <row r="3" customFormat="false" ht="23.25" hidden="false" customHeight="true" outlineLevel="0" collapsed="false">
      <c r="A3" s="23" t="s">
        <v>439</v>
      </c>
      <c r="B3" s="8" t="s">
        <v>440</v>
      </c>
    </row>
    <row r="4" customFormat="false" ht="23.25" hidden="false" customHeight="true" outlineLevel="0" collapsed="false">
      <c r="A4" s="23" t="s">
        <v>441</v>
      </c>
      <c r="B4" s="8" t="s">
        <v>442</v>
      </c>
    </row>
    <row r="5" customFormat="false" ht="23.25" hidden="false" customHeight="true" outlineLevel="0" collapsed="false">
      <c r="A5" s="23" t="s">
        <v>443</v>
      </c>
      <c r="B5" s="8" t="s">
        <v>444</v>
      </c>
    </row>
    <row r="6" customFormat="false" ht="23.25" hidden="false" customHeight="true" outlineLevel="0" collapsed="false">
      <c r="A6" s="23" t="s">
        <v>445</v>
      </c>
      <c r="B6" s="8" t="s">
        <v>446</v>
      </c>
    </row>
    <row r="7" customFormat="false" ht="23.25" hidden="false" customHeight="true" outlineLevel="0" collapsed="false">
      <c r="A7" s="23" t="s">
        <v>447</v>
      </c>
      <c r="B7" s="8" t="s">
        <v>448</v>
      </c>
    </row>
    <row r="8" customFormat="false" ht="23.25" hidden="false" customHeight="true" outlineLevel="0" collapsed="false">
      <c r="A8" s="23" t="s">
        <v>449</v>
      </c>
      <c r="B8" s="8" t="s">
        <v>450</v>
      </c>
    </row>
    <row r="9" customFormat="false" ht="23.25" hidden="false" customHeight="true" outlineLevel="0" collapsed="false">
      <c r="A9" s="23" t="s">
        <v>451</v>
      </c>
      <c r="B9" s="8" t="s">
        <v>452</v>
      </c>
    </row>
    <row r="10" customFormat="false" ht="23.25" hidden="false" customHeight="true" outlineLevel="0" collapsed="false">
      <c r="A10" s="23" t="s">
        <v>453</v>
      </c>
      <c r="B10" s="8" t="s">
        <v>454</v>
      </c>
    </row>
    <row r="11" customFormat="false" ht="15" hidden="false" customHeight="true" outlineLevel="0" collapsed="false">
      <c r="A11" s="23" t="s">
        <v>455</v>
      </c>
      <c r="B11" s="8" t="s">
        <v>456</v>
      </c>
    </row>
    <row r="12" customFormat="false" ht="23.25" hidden="false" customHeight="true" outlineLevel="0" collapsed="false">
      <c r="A12" s="23" t="s">
        <v>457</v>
      </c>
      <c r="B12" s="8" t="s">
        <v>458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6"/>
    <col collapsed="false" customWidth="true" hidden="false" outlineLevel="0" max="3" min="3" style="1" width="15"/>
    <col collapsed="false" customWidth="true" hidden="false" outlineLevel="0" max="4" min="4" style="1" width="18"/>
    <col collapsed="false" customWidth="true" hidden="false" outlineLevel="0" max="5" min="5" style="1" width="15"/>
    <col collapsed="false" customWidth="true" hidden="false" outlineLevel="0" max="6" min="6" style="1" width="18"/>
    <col collapsed="false" customWidth="true" hidden="false" outlineLevel="0" max="7" min="7" style="1" width="12"/>
    <col collapsed="false" customWidth="true" hidden="false" outlineLevel="0" max="9" min="8" style="1" width="8"/>
  </cols>
  <sheetData>
    <row r="1" customFormat="false" ht="25.5" hidden="false" customHeight="true" outlineLevel="0" collapsed="false">
      <c r="A1" s="2" t="s">
        <v>459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9" t="s">
        <v>460</v>
      </c>
    </row>
    <row r="5" customFormat="false" ht="23.25" hidden="false" customHeight="true" outlineLevel="0" collapsed="false">
      <c r="A5" s="6" t="s">
        <v>169</v>
      </c>
      <c r="B5" s="6" t="s">
        <v>461</v>
      </c>
      <c r="C5" s="6" t="s">
        <v>462</v>
      </c>
      <c r="D5" s="6" t="s">
        <v>463</v>
      </c>
      <c r="E5" s="6" t="s">
        <v>464</v>
      </c>
      <c r="F5" s="6" t="s">
        <v>465</v>
      </c>
      <c r="G5" s="6" t="s">
        <v>466</v>
      </c>
      <c r="H5" s="6" t="s">
        <v>467</v>
      </c>
      <c r="I5" s="6" t="s">
        <v>468</v>
      </c>
    </row>
    <row r="6" customFormat="false" ht="15" hidden="false" customHeight="true" outlineLevel="0" collapsed="false">
      <c r="A6" s="7" t="s">
        <v>469</v>
      </c>
      <c r="B6" s="7" t="s">
        <v>175</v>
      </c>
      <c r="C6" s="13" t="n">
        <v>46198593</v>
      </c>
      <c r="D6" s="7" t="s">
        <v>470</v>
      </c>
      <c r="E6" s="10" t="s">
        <v>161</v>
      </c>
      <c r="F6" s="7" t="s">
        <v>471</v>
      </c>
      <c r="G6" s="13" t="str">
        <f aca="false">IFERROR(E6-C6,"")</f>
        <v/>
      </c>
      <c r="H6" s="18" t="str">
        <f aca="false">IFERROR((E6-C6)/C6,"")</f>
        <v/>
      </c>
      <c r="I6" s="7" t="n">
        <v>3</v>
      </c>
    </row>
    <row r="7" customFormat="false" ht="15" hidden="false" customHeight="true" outlineLevel="0" collapsed="false">
      <c r="A7" s="7"/>
      <c r="B7" s="7"/>
      <c r="C7" s="13"/>
      <c r="D7" s="7"/>
      <c r="E7" s="10"/>
      <c r="F7" s="7"/>
      <c r="G7" s="13" t="n">
        <f aca="false">IFERROR(E7-C7,"")</f>
        <v>0</v>
      </c>
      <c r="H7" s="18" t="str">
        <f aca="false">IFERROR((E7-C7)/C7,"")</f>
        <v/>
      </c>
      <c r="I7" s="7"/>
    </row>
    <row r="8" customFormat="false" ht="15" hidden="false" customHeight="true" outlineLevel="0" collapsed="false">
      <c r="A8" s="7"/>
      <c r="B8" s="7"/>
      <c r="C8" s="13"/>
      <c r="D8" s="7"/>
      <c r="E8" s="10"/>
      <c r="F8" s="7"/>
      <c r="G8" s="13" t="n">
        <f aca="false">IFERROR(E8-C8,"")</f>
        <v>0</v>
      </c>
      <c r="H8" s="18" t="str">
        <f aca="false">IFERROR((E8-C8)/C8,"")</f>
        <v/>
      </c>
      <c r="I8" s="7"/>
    </row>
    <row r="9" customFormat="false" ht="15" hidden="false" customHeight="true" outlineLevel="0" collapsed="false">
      <c r="A9" s="7"/>
      <c r="B9" s="7"/>
      <c r="C9" s="13"/>
      <c r="D9" s="7"/>
      <c r="E9" s="10"/>
      <c r="F9" s="7"/>
      <c r="G9" s="13" t="n">
        <f aca="false">IFERROR(E9-C9,"")</f>
        <v>0</v>
      </c>
      <c r="H9" s="18" t="str">
        <f aca="false">IFERROR((E9-C9)/C9,"")</f>
        <v/>
      </c>
      <c r="I9" s="7"/>
    </row>
    <row r="10" customFormat="false" ht="15" hidden="false" customHeight="true" outlineLevel="0" collapsed="false">
      <c r="A10" s="7"/>
      <c r="B10" s="7"/>
      <c r="C10" s="13"/>
      <c r="D10" s="7"/>
      <c r="E10" s="10"/>
      <c r="F10" s="7"/>
      <c r="G10" s="13" t="n">
        <f aca="false">IFERROR(E10-C10,"")</f>
        <v>0</v>
      </c>
      <c r="H10" s="18" t="str">
        <f aca="false">IFERROR((E10-C10)/C10,"")</f>
        <v/>
      </c>
      <c r="I10" s="7"/>
    </row>
    <row r="11" customFormat="false" ht="15" hidden="false" customHeight="true" outlineLevel="0" collapsed="false">
      <c r="A11" s="7"/>
      <c r="B11" s="7"/>
      <c r="C11" s="13"/>
      <c r="D11" s="7"/>
      <c r="E11" s="10"/>
      <c r="F11" s="7"/>
      <c r="G11" s="13" t="n">
        <f aca="false">IFERROR(E11-C11,"")</f>
        <v>0</v>
      </c>
      <c r="H11" s="18" t="str">
        <f aca="false">IFERROR((E11-C11)/C11,"")</f>
        <v/>
      </c>
      <c r="I11" s="7"/>
    </row>
    <row r="12" customFormat="false" ht="15" hidden="false" customHeight="true" outlineLevel="0" collapsed="false">
      <c r="A12" s="7"/>
      <c r="B12" s="7"/>
      <c r="C12" s="13"/>
      <c r="D12" s="7"/>
      <c r="E12" s="10"/>
      <c r="F12" s="7"/>
      <c r="G12" s="13" t="n">
        <f aca="false">IFERROR(E12-C12,"")</f>
        <v>0</v>
      </c>
      <c r="H12" s="18" t="str">
        <f aca="false">IFERROR((E12-C12)/C12,"")</f>
        <v/>
      </c>
      <c r="I12" s="7"/>
    </row>
    <row r="13" customFormat="false" ht="15" hidden="false" customHeight="true" outlineLevel="0" collapsed="false">
      <c r="A13" s="7"/>
      <c r="B13" s="7"/>
      <c r="C13" s="13"/>
      <c r="D13" s="7"/>
      <c r="E13" s="10"/>
      <c r="F13" s="7"/>
      <c r="G13" s="13" t="n">
        <f aca="false">IFERROR(E13-C13,"")</f>
        <v>0</v>
      </c>
      <c r="H13" s="18" t="str">
        <f aca="false">IFERROR((E13-C13)/C13,"")</f>
        <v/>
      </c>
      <c r="I13" s="7"/>
    </row>
    <row r="14" customFormat="false" ht="15" hidden="false" customHeight="true" outlineLevel="0" collapsed="false">
      <c r="A14" s="7"/>
      <c r="B14" s="7"/>
      <c r="C14" s="13"/>
      <c r="D14" s="7"/>
      <c r="E14" s="10"/>
      <c r="F14" s="7"/>
      <c r="G14" s="13" t="n">
        <f aca="false">IFERROR(E14-C14,"")</f>
        <v>0</v>
      </c>
      <c r="H14" s="18" t="str">
        <f aca="false">IFERROR((E14-C14)/C14,"")</f>
        <v/>
      </c>
      <c r="I14" s="7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5"/>
    <col collapsed="false" customWidth="true" hidden="false" outlineLevel="0" max="3" min="3" style="1" width="22"/>
    <col collapsed="false" customWidth="true" hidden="false" outlineLevel="0" max="4" min="4" style="1" width="34"/>
    <col collapsed="false" customWidth="true" hidden="false" outlineLevel="0" max="5" min="5" style="1" width="16"/>
    <col collapsed="false" customWidth="true" hidden="false" outlineLevel="0" max="6" min="6" style="1" width="8"/>
    <col collapsed="false" customWidth="true" hidden="false" outlineLevel="0" max="7" min="7" style="1" width="7"/>
  </cols>
  <sheetData>
    <row r="1" customFormat="false" ht="25.5" hidden="false" customHeight="true" outlineLevel="0" collapsed="false">
      <c r="A1" s="2" t="s">
        <v>472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6" t="s">
        <v>473</v>
      </c>
      <c r="B3" s="6" t="s">
        <v>100</v>
      </c>
      <c r="C3" s="6" t="s">
        <v>171</v>
      </c>
      <c r="D3" s="6" t="s">
        <v>474</v>
      </c>
      <c r="E3" s="6" t="s">
        <v>475</v>
      </c>
      <c r="F3" s="6" t="s">
        <v>476</v>
      </c>
      <c r="G3" s="6" t="s">
        <v>477</v>
      </c>
    </row>
    <row r="4" customFormat="false" ht="15" hidden="false" customHeight="true" outlineLevel="0" collapsed="false">
      <c r="A4" s="8" t="s">
        <v>478</v>
      </c>
      <c r="B4" s="13" t="n">
        <v>785200000</v>
      </c>
      <c r="C4" s="8" t="s">
        <v>479</v>
      </c>
      <c r="D4" s="8" t="s">
        <v>177</v>
      </c>
      <c r="E4" s="7" t="s">
        <v>480</v>
      </c>
      <c r="F4" s="7" t="s">
        <v>481</v>
      </c>
      <c r="G4" s="7" t="s">
        <v>482</v>
      </c>
    </row>
    <row r="5" customFormat="false" ht="15" hidden="false" customHeight="true" outlineLevel="0" collapsed="false">
      <c r="A5" s="8" t="s">
        <v>180</v>
      </c>
      <c r="B5" s="13" t="n">
        <v>667100000</v>
      </c>
      <c r="C5" s="8" t="s">
        <v>190</v>
      </c>
      <c r="D5" s="8" t="s">
        <v>183</v>
      </c>
      <c r="E5" s="7" t="s">
        <v>483</v>
      </c>
      <c r="F5" s="7" t="s">
        <v>484</v>
      </c>
      <c r="G5" s="7" t="s">
        <v>485</v>
      </c>
    </row>
    <row r="6" customFormat="false" ht="23.25" hidden="false" customHeight="true" outlineLevel="0" collapsed="false">
      <c r="A6" s="8" t="s">
        <v>486</v>
      </c>
      <c r="B6" s="13" t="n">
        <v>329400000</v>
      </c>
      <c r="C6" s="8" t="s">
        <v>487</v>
      </c>
      <c r="D6" s="8" t="s">
        <v>488</v>
      </c>
      <c r="E6" s="7" t="s">
        <v>489</v>
      </c>
      <c r="F6" s="7" t="s">
        <v>490</v>
      </c>
      <c r="G6" s="7" t="s">
        <v>491</v>
      </c>
    </row>
    <row r="7" customFormat="false" ht="15" hidden="false" customHeight="true" outlineLevel="0" collapsed="false">
      <c r="A7" s="8" t="s">
        <v>492</v>
      </c>
      <c r="B7" s="13" t="n">
        <v>254300000</v>
      </c>
      <c r="C7" s="8" t="s">
        <v>190</v>
      </c>
      <c r="D7" s="8" t="s">
        <v>493</v>
      </c>
      <c r="E7" s="7" t="s">
        <v>494</v>
      </c>
      <c r="F7" s="7" t="s">
        <v>481</v>
      </c>
      <c r="G7" s="7" t="s">
        <v>495</v>
      </c>
    </row>
    <row r="8" customFormat="false" ht="15" hidden="false" customHeight="true" outlineLevel="0" collapsed="false">
      <c r="A8" s="8" t="s">
        <v>496</v>
      </c>
      <c r="B8" s="13" t="n">
        <v>168800000</v>
      </c>
      <c r="C8" s="8" t="s">
        <v>190</v>
      </c>
      <c r="D8" s="8" t="s">
        <v>497</v>
      </c>
      <c r="E8" s="7" t="s">
        <v>498</v>
      </c>
      <c r="F8" s="7" t="s">
        <v>481</v>
      </c>
      <c r="G8" s="7" t="s">
        <v>499</v>
      </c>
    </row>
    <row r="9" customFormat="false" ht="15" hidden="false" customHeight="true" outlineLevel="0" collapsed="false">
      <c r="A9" s="8" t="s">
        <v>500</v>
      </c>
      <c r="B9" s="13" t="n">
        <v>68100000</v>
      </c>
      <c r="C9" s="8" t="s">
        <v>203</v>
      </c>
      <c r="D9" s="8" t="s">
        <v>501</v>
      </c>
      <c r="E9" s="7" t="s">
        <v>502</v>
      </c>
      <c r="F9" s="7" t="s">
        <v>503</v>
      </c>
      <c r="G9" s="7" t="s">
        <v>504</v>
      </c>
    </row>
    <row r="10" customFormat="false" ht="15" hidden="false" customHeight="true" outlineLevel="0" collapsed="false">
      <c r="A10" s="8" t="s">
        <v>505</v>
      </c>
      <c r="B10" s="13" t="n">
        <v>61000000</v>
      </c>
      <c r="C10" s="8" t="s">
        <v>203</v>
      </c>
      <c r="D10" s="8" t="s">
        <v>506</v>
      </c>
      <c r="E10" s="7" t="s">
        <v>507</v>
      </c>
      <c r="F10" s="7" t="s">
        <v>503</v>
      </c>
      <c r="G10" s="7" t="s">
        <v>508</v>
      </c>
    </row>
    <row r="11" customFormat="false" ht="23.25" hidden="false" customHeight="true" outlineLevel="0" collapsed="false">
      <c r="A11" s="8" t="s">
        <v>509</v>
      </c>
      <c r="B11" s="13" t="n">
        <v>61000000</v>
      </c>
      <c r="C11" s="8" t="s">
        <v>510</v>
      </c>
      <c r="D11" s="8" t="s">
        <v>511</v>
      </c>
      <c r="E11" s="7" t="s">
        <v>512</v>
      </c>
      <c r="F11" s="7" t="s">
        <v>481</v>
      </c>
      <c r="G11" s="7" t="s">
        <v>513</v>
      </c>
    </row>
    <row r="12" customFormat="false" ht="15" hidden="false" customHeight="true" outlineLevel="0" collapsed="false">
      <c r="A12" s="8" t="s">
        <v>514</v>
      </c>
      <c r="B12" s="13" t="n">
        <v>693000000</v>
      </c>
      <c r="C12" s="8" t="s">
        <v>515</v>
      </c>
      <c r="D12" s="8" t="s">
        <v>516</v>
      </c>
      <c r="E12" s="7" t="s">
        <v>517</v>
      </c>
      <c r="F12" s="7" t="s">
        <v>518</v>
      </c>
      <c r="G12" s="7" t="s">
        <v>519</v>
      </c>
    </row>
    <row r="13" customFormat="false" ht="15" hidden="false" customHeight="true" outlineLevel="0" collapsed="false">
      <c r="A13" s="14" t="s">
        <v>520</v>
      </c>
      <c r="B13" s="15" t="n">
        <f aca="false">SUM(B4:B12)</f>
        <v>3087900000</v>
      </c>
      <c r="C13" s="7"/>
      <c r="D13" s="7"/>
      <c r="E13" s="14" t="s">
        <v>521</v>
      </c>
      <c r="F13" s="7"/>
      <c r="G13" s="7" t="s">
        <v>346</v>
      </c>
    </row>
    <row r="15" customFormat="false" ht="15" hidden="false" customHeight="true" outlineLevel="0" collapsed="false">
      <c r="A15" s="9" t="s">
        <v>522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0"/>
    <col collapsed="false" customWidth="true" hidden="false" outlineLevel="0" max="4" min="4" style="1" width="40"/>
  </cols>
  <sheetData>
    <row r="1" customFormat="false" ht="25.5" hidden="false" customHeight="true" outlineLevel="0" collapsed="false">
      <c r="A1" s="2" t="s">
        <v>523</v>
      </c>
      <c r="B1" s="2"/>
      <c r="C1" s="2"/>
      <c r="D1" s="2"/>
    </row>
    <row r="3" customFormat="false" ht="202.5" hidden="false" customHeight="true" outlineLevel="0" collapsed="false">
      <c r="A3" s="23" t="s">
        <v>524</v>
      </c>
      <c r="B3" s="8" t="s">
        <v>525</v>
      </c>
    </row>
    <row r="4" customFormat="false" ht="270" hidden="false" customHeight="true" outlineLevel="0" collapsed="false">
      <c r="A4" s="23" t="s">
        <v>526</v>
      </c>
      <c r="B4" s="8" t="s">
        <v>527</v>
      </c>
    </row>
    <row r="5" customFormat="false" ht="202.5" hidden="false" customHeight="true" outlineLevel="0" collapsed="false">
      <c r="A5" s="23" t="s">
        <v>528</v>
      </c>
      <c r="B5" s="8" t="s">
        <v>529</v>
      </c>
    </row>
    <row r="6" customFormat="false" ht="168.75" hidden="false" customHeight="true" outlineLevel="0" collapsed="false">
      <c r="A6" s="23" t="s">
        <v>530</v>
      </c>
      <c r="B6" s="8" t="s">
        <v>531</v>
      </c>
    </row>
    <row r="7" customFormat="false" ht="202.5" hidden="false" customHeight="true" outlineLevel="0" collapsed="false">
      <c r="A7" s="23" t="s">
        <v>532</v>
      </c>
      <c r="B7" s="8" t="s">
        <v>533</v>
      </c>
    </row>
    <row r="8" customFormat="false" ht="191.25" hidden="false" customHeight="true" outlineLevel="0" collapsed="false">
      <c r="A8" s="23" t="s">
        <v>534</v>
      </c>
      <c r="B8" s="8" t="s">
        <v>535</v>
      </c>
    </row>
    <row r="9" customFormat="false" ht="191.25" hidden="false" customHeight="true" outlineLevel="0" collapsed="false">
      <c r="A9" s="23" t="s">
        <v>536</v>
      </c>
      <c r="B9" s="8" t="s">
        <v>537</v>
      </c>
    </row>
    <row r="10" customFormat="false" ht="202.5" hidden="false" customHeight="true" outlineLevel="0" collapsed="false">
      <c r="A10" s="23" t="s">
        <v>538</v>
      </c>
      <c r="B10" s="8" t="s">
        <v>539</v>
      </c>
    </row>
    <row r="11" customFormat="false" ht="135.75" hidden="false" customHeight="true" outlineLevel="0" collapsed="false">
      <c r="A11" s="23" t="s">
        <v>540</v>
      </c>
      <c r="B11" s="8" t="s">
        <v>541</v>
      </c>
    </row>
    <row r="13" customFormat="false" ht="15" hidden="false" customHeight="true" outlineLevel="0" collapsed="false">
      <c r="A13" s="5" t="s">
        <v>542</v>
      </c>
      <c r="B13" s="5"/>
      <c r="C13" s="5"/>
      <c r="D13" s="5"/>
    </row>
    <row r="14" customFormat="false" ht="15" hidden="false" customHeight="true" outlineLevel="0" collapsed="false">
      <c r="A14" s="6" t="s">
        <v>543</v>
      </c>
      <c r="B14" s="6" t="s">
        <v>99</v>
      </c>
      <c r="C14" s="6" t="s">
        <v>544</v>
      </c>
      <c r="D14" s="6" t="s">
        <v>545</v>
      </c>
    </row>
    <row r="15" customFormat="false" ht="15" hidden="false" customHeight="true" outlineLevel="0" collapsed="false">
      <c r="A15" s="8" t="s">
        <v>546</v>
      </c>
      <c r="B15" s="7" t="n">
        <v>328</v>
      </c>
      <c r="C15" s="7" t="n">
        <v>73</v>
      </c>
      <c r="D15" s="8" t="s">
        <v>547</v>
      </c>
    </row>
    <row r="16" customFormat="false" ht="15" hidden="false" customHeight="true" outlineLevel="0" collapsed="false">
      <c r="A16" s="8" t="s">
        <v>106</v>
      </c>
      <c r="B16" s="7" t="n">
        <v>25</v>
      </c>
      <c r="C16" s="7" t="n">
        <v>11</v>
      </c>
      <c r="D16" s="8" t="s">
        <v>548</v>
      </c>
    </row>
    <row r="17" customFormat="false" ht="15" hidden="false" customHeight="true" outlineLevel="0" collapsed="false">
      <c r="A17" s="8" t="s">
        <v>549</v>
      </c>
      <c r="B17" s="7" t="n">
        <v>219</v>
      </c>
      <c r="C17" s="7" t="n">
        <v>90</v>
      </c>
      <c r="D17" s="8" t="s">
        <v>550</v>
      </c>
    </row>
    <row r="18" customFormat="false" ht="15" hidden="false" customHeight="true" outlineLevel="0" collapsed="false">
      <c r="A18" s="8" t="s">
        <v>118</v>
      </c>
      <c r="B18" s="7" t="n">
        <v>181</v>
      </c>
      <c r="C18" s="7" t="n">
        <v>68</v>
      </c>
      <c r="D18" s="8" t="s">
        <v>551</v>
      </c>
    </row>
    <row r="19" customFormat="false" ht="15" hidden="false" customHeight="true" outlineLevel="0" collapsed="false">
      <c r="A19" s="8" t="s">
        <v>552</v>
      </c>
      <c r="B19" s="7" t="n">
        <v>429</v>
      </c>
      <c r="C19" s="7" t="n">
        <v>132</v>
      </c>
      <c r="D19" s="8" t="s">
        <v>553</v>
      </c>
    </row>
    <row r="20" customFormat="false" ht="15" hidden="false" customHeight="true" outlineLevel="0" collapsed="false">
      <c r="A20" s="8" t="s">
        <v>554</v>
      </c>
      <c r="B20" s="7" t="n">
        <v>208</v>
      </c>
      <c r="C20" s="7" t="n">
        <v>70</v>
      </c>
      <c r="D20" s="8" t="s">
        <v>555</v>
      </c>
    </row>
    <row r="21" customFormat="false" ht="15" hidden="false" customHeight="true" outlineLevel="0" collapsed="false">
      <c r="A21" s="8" t="s">
        <v>556</v>
      </c>
      <c r="B21" s="7" t="n">
        <v>45</v>
      </c>
      <c r="C21" s="7" t="n">
        <v>24</v>
      </c>
      <c r="D21" s="8" t="s">
        <v>557</v>
      </c>
    </row>
    <row r="23" customFormat="false" ht="15" hidden="false" customHeight="true" outlineLevel="0" collapsed="false">
      <c r="A23" s="9" t="s">
        <v>558</v>
      </c>
    </row>
  </sheetData>
  <mergeCells count="2">
    <mergeCell ref="A1:D1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6"/>
  </cols>
  <sheetData>
    <row r="1" customFormat="false" ht="25.5" hidden="false" customHeight="true" outlineLevel="0" collapsed="false">
      <c r="A1" s="2" t="s">
        <v>559</v>
      </c>
      <c r="B1" s="2"/>
      <c r="C1" s="2"/>
      <c r="D1" s="2"/>
    </row>
    <row r="3" customFormat="false" ht="15" hidden="false" customHeight="true" outlineLevel="0" collapsed="false">
      <c r="A3" s="9" t="s">
        <v>560</v>
      </c>
    </row>
    <row r="5" customFormat="false" ht="23.25" hidden="false" customHeight="true" outlineLevel="0" collapsed="false">
      <c r="A5" s="23" t="s">
        <v>524</v>
      </c>
      <c r="B5" s="8" t="s">
        <v>561</v>
      </c>
    </row>
    <row r="6" customFormat="false" ht="23.25" hidden="false" customHeight="true" outlineLevel="0" collapsed="false">
      <c r="A6" s="23" t="s">
        <v>562</v>
      </c>
      <c r="B6" s="8" t="s">
        <v>563</v>
      </c>
    </row>
    <row r="7" customFormat="false" ht="23.25" hidden="false" customHeight="true" outlineLevel="0" collapsed="false">
      <c r="A7" s="23" t="s">
        <v>564</v>
      </c>
      <c r="B7" s="8" t="s">
        <v>565</v>
      </c>
    </row>
    <row r="8" customFormat="false" ht="15" hidden="false" customHeight="true" outlineLevel="0" collapsed="false">
      <c r="A8" s="23" t="s">
        <v>566</v>
      </c>
      <c r="B8" s="8" t="s">
        <v>567</v>
      </c>
    </row>
    <row r="9" customFormat="false" ht="15" hidden="false" customHeight="true" outlineLevel="0" collapsed="false">
      <c r="A9" s="23" t="s">
        <v>568</v>
      </c>
      <c r="B9" s="8" t="s">
        <v>569</v>
      </c>
    </row>
    <row r="10" customFormat="false" ht="23.25" hidden="false" customHeight="true" outlineLevel="0" collapsed="false">
      <c r="A10" s="23" t="s">
        <v>570</v>
      </c>
      <c r="B10" s="8" t="s">
        <v>571</v>
      </c>
    </row>
    <row r="11" customFormat="false" ht="23.25" hidden="false" customHeight="true" outlineLevel="0" collapsed="false">
      <c r="A11" s="23" t="s">
        <v>572</v>
      </c>
      <c r="B11" s="8" t="s">
        <v>573</v>
      </c>
    </row>
    <row r="12" customFormat="false" ht="15" hidden="false" customHeight="true" outlineLevel="0" collapsed="false">
      <c r="A12" s="23" t="s">
        <v>574</v>
      </c>
      <c r="B12" s="8" t="s">
        <v>575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6"/>
  </cols>
  <sheetData>
    <row r="1" customFormat="false" ht="25.5" hidden="false" customHeight="true" outlineLevel="0" collapsed="false">
      <c r="A1" s="2" t="s">
        <v>576</v>
      </c>
      <c r="B1" s="2"/>
      <c r="C1" s="2"/>
      <c r="D1" s="2"/>
    </row>
    <row r="3" customFormat="false" ht="15" hidden="false" customHeight="true" outlineLevel="0" collapsed="false">
      <c r="A3" s="9" t="s">
        <v>560</v>
      </c>
    </row>
    <row r="5" customFormat="false" ht="15" hidden="false" customHeight="true" outlineLevel="0" collapsed="false">
      <c r="A5" s="23" t="s">
        <v>577</v>
      </c>
      <c r="B5" s="8" t="s">
        <v>578</v>
      </c>
    </row>
    <row r="6" customFormat="false" ht="15" hidden="false" customHeight="true" outlineLevel="0" collapsed="false">
      <c r="A6" s="23" t="s">
        <v>579</v>
      </c>
      <c r="B6" s="8" t="s">
        <v>580</v>
      </c>
    </row>
    <row r="7" customFormat="false" ht="23.25" hidden="false" customHeight="true" outlineLevel="0" collapsed="false">
      <c r="A7" s="23" t="s">
        <v>581</v>
      </c>
      <c r="B7" s="8" t="s">
        <v>582</v>
      </c>
    </row>
    <row r="8" customFormat="false" ht="15" hidden="false" customHeight="true" outlineLevel="0" collapsed="false">
      <c r="A8" s="23" t="s">
        <v>583</v>
      </c>
      <c r="B8" s="8" t="s">
        <v>584</v>
      </c>
    </row>
    <row r="9" customFormat="false" ht="15" hidden="false" customHeight="true" outlineLevel="0" collapsed="false">
      <c r="A9" s="23" t="s">
        <v>585</v>
      </c>
      <c r="B9" s="8" t="s">
        <v>586</v>
      </c>
    </row>
    <row r="10" customFormat="false" ht="15" hidden="false" customHeight="true" outlineLevel="0" collapsed="false">
      <c r="A10" s="23" t="s">
        <v>587</v>
      </c>
      <c r="B10" s="8" t="s">
        <v>588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6"/>
  </cols>
  <sheetData>
    <row r="1" customFormat="false" ht="25.5" hidden="false" customHeight="true" outlineLevel="0" collapsed="false">
      <c r="A1" s="2" t="s">
        <v>589</v>
      </c>
      <c r="B1" s="2"/>
      <c r="C1" s="2"/>
      <c r="D1" s="2"/>
    </row>
    <row r="3" customFormat="false" ht="15" hidden="false" customHeight="true" outlineLevel="0" collapsed="false">
      <c r="A3" s="9" t="s">
        <v>560</v>
      </c>
    </row>
    <row r="5" customFormat="false" ht="15" hidden="false" customHeight="true" outlineLevel="0" collapsed="false">
      <c r="A5" s="23" t="s">
        <v>577</v>
      </c>
      <c r="B5" s="8" t="s">
        <v>590</v>
      </c>
    </row>
    <row r="6" customFormat="false" ht="23.25" hidden="false" customHeight="true" outlineLevel="0" collapsed="false">
      <c r="A6" s="23" t="s">
        <v>591</v>
      </c>
      <c r="B6" s="8" t="s">
        <v>592</v>
      </c>
    </row>
    <row r="7" customFormat="false" ht="15" hidden="false" customHeight="true" outlineLevel="0" collapsed="false">
      <c r="A7" s="23" t="s">
        <v>593</v>
      </c>
      <c r="B7" s="8" t="s">
        <v>594</v>
      </c>
    </row>
    <row r="8" customFormat="false" ht="15" hidden="false" customHeight="true" outlineLevel="0" collapsed="false">
      <c r="A8" s="23" t="s">
        <v>595</v>
      </c>
      <c r="B8" s="8" t="s">
        <v>596</v>
      </c>
    </row>
    <row r="9" customFormat="false" ht="15" hidden="false" customHeight="true" outlineLevel="0" collapsed="false">
      <c r="A9" s="23" t="s">
        <v>597</v>
      </c>
      <c r="B9" s="8" t="s">
        <v>598</v>
      </c>
    </row>
    <row r="10" customFormat="false" ht="23.25" hidden="false" customHeight="true" outlineLevel="0" collapsed="false">
      <c r="A10" s="23" t="s">
        <v>599</v>
      </c>
      <c r="B10" s="8" t="s">
        <v>600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6"/>
  </cols>
  <sheetData>
    <row r="1" customFormat="false" ht="25.5" hidden="false" customHeight="true" outlineLevel="0" collapsed="false">
      <c r="A1" s="2" t="s">
        <v>601</v>
      </c>
      <c r="B1" s="2"/>
      <c r="C1" s="2"/>
      <c r="D1" s="2"/>
    </row>
    <row r="3" customFormat="false" ht="15" hidden="false" customHeight="true" outlineLevel="0" collapsed="false">
      <c r="A3" s="9" t="s">
        <v>560</v>
      </c>
    </row>
    <row r="5" customFormat="false" ht="15" hidden="false" customHeight="true" outlineLevel="0" collapsed="false">
      <c r="A5" s="23" t="s">
        <v>577</v>
      </c>
      <c r="B5" s="8" t="s">
        <v>602</v>
      </c>
    </row>
    <row r="6" customFormat="false" ht="15" hidden="false" customHeight="true" outlineLevel="0" collapsed="false">
      <c r="A6" s="23" t="s">
        <v>603</v>
      </c>
      <c r="B6" s="8" t="s">
        <v>604</v>
      </c>
    </row>
    <row r="7" customFormat="false" ht="15" hidden="false" customHeight="true" outlineLevel="0" collapsed="false">
      <c r="A7" s="23" t="s">
        <v>605</v>
      </c>
      <c r="B7" s="8" t="s">
        <v>606</v>
      </c>
    </row>
    <row r="8" customFormat="false" ht="23.25" hidden="false" customHeight="true" outlineLevel="0" collapsed="false">
      <c r="A8" s="23" t="s">
        <v>607</v>
      </c>
      <c r="B8" s="8" t="s">
        <v>608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6"/>
  </cols>
  <sheetData>
    <row r="1" customFormat="false" ht="25.5" hidden="false" customHeight="true" outlineLevel="0" collapsed="false">
      <c r="A1" s="2" t="s">
        <v>609</v>
      </c>
      <c r="B1" s="2"/>
      <c r="C1" s="2"/>
      <c r="D1" s="2"/>
    </row>
    <row r="3" customFormat="false" ht="15" hidden="false" customHeight="true" outlineLevel="0" collapsed="false">
      <c r="A3" s="9" t="s">
        <v>560</v>
      </c>
    </row>
    <row r="5" customFormat="false" ht="15" hidden="false" customHeight="true" outlineLevel="0" collapsed="false">
      <c r="A5" s="23" t="s">
        <v>577</v>
      </c>
      <c r="B5" s="8" t="s">
        <v>610</v>
      </c>
    </row>
    <row r="6" customFormat="false" ht="15" hidden="false" customHeight="true" outlineLevel="0" collapsed="false">
      <c r="A6" s="23" t="s">
        <v>611</v>
      </c>
      <c r="B6" s="8" t="s">
        <v>612</v>
      </c>
    </row>
    <row r="7" customFormat="false" ht="15" hidden="false" customHeight="true" outlineLevel="0" collapsed="false">
      <c r="A7" s="23" t="s">
        <v>613</v>
      </c>
      <c r="B7" s="8" t="s">
        <v>614</v>
      </c>
    </row>
    <row r="8" customFormat="false" ht="15" hidden="false" customHeight="true" outlineLevel="0" collapsed="false">
      <c r="A8" s="23" t="s">
        <v>615</v>
      </c>
      <c r="B8" s="8" t="s">
        <v>616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6"/>
  </cols>
  <sheetData>
    <row r="1" customFormat="false" ht="25.5" hidden="false" customHeight="true" outlineLevel="0" collapsed="false">
      <c r="A1" s="2" t="s">
        <v>617</v>
      </c>
      <c r="B1" s="2"/>
      <c r="C1" s="2"/>
      <c r="D1" s="2"/>
    </row>
    <row r="3" customFormat="false" ht="15" hidden="false" customHeight="true" outlineLevel="0" collapsed="false">
      <c r="A3" s="9" t="s">
        <v>560</v>
      </c>
    </row>
    <row r="5" customFormat="false" ht="15" hidden="false" customHeight="true" outlineLevel="0" collapsed="false">
      <c r="A5" s="23" t="s">
        <v>577</v>
      </c>
      <c r="B5" s="8" t="s">
        <v>618</v>
      </c>
    </row>
    <row r="6" customFormat="false" ht="15" hidden="false" customHeight="true" outlineLevel="0" collapsed="false">
      <c r="A6" s="23" t="s">
        <v>619</v>
      </c>
      <c r="B6" s="8" t="s">
        <v>620</v>
      </c>
    </row>
    <row r="7" customFormat="false" ht="15" hidden="false" customHeight="true" outlineLevel="0" collapsed="false">
      <c r="A7" s="23" t="s">
        <v>621</v>
      </c>
      <c r="B7" s="8" t="s">
        <v>622</v>
      </c>
    </row>
    <row r="8" customFormat="false" ht="15" hidden="false" customHeight="true" outlineLevel="0" collapsed="false">
      <c r="A8" s="23" t="s">
        <v>568</v>
      </c>
      <c r="B8" s="8" t="s">
        <v>623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2026-07-22T07:49:44Z</dcterms:created>
  <dc:creator>openpyxl</dc:creator>
  <dc:description/>
  <dc:language>en-US</dc:language>
  <cp:lastModifiedBy/>
  <dcterms:modified xsi:type="dcterms:W3CDTF">2026-07-22T07:53:23Z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