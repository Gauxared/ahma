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Резюме_Заключение" sheetId="1" state="visible" r:id="rId3"/>
    <sheet name="01_Нормпрофиль" sheetId="2" state="visible" r:id="rId4"/>
    <sheet name="02_КС_геометрия" sheetId="3" state="visible" r:id="rId5"/>
    <sheet name="03_Сверка_состава" sheetId="4" state="visible" r:id="rId6"/>
    <sheet name="04_Проверка_ЭОМ" sheetId="5" state="visible" r:id="rId7"/>
    <sheet name="05_Замечания" sheetId="6" state="visible" r:id="rId8"/>
    <sheet name="06_Передачи_смежникам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<sst xmlns="http://schemas.openxmlformats.org/spreadsheetml/2006/main" count="449" uniqueCount="345">
  <si>
    <t xml:space="preserve">СТРОЙИНТЕЛЛЕКТ.ГИП · ИИ-ГИП · ТЕХНИЧЕСКОЕ ЗАКЛЮЧЕНИЕ (ЦИМ) — ТАКТ 1</t>
  </si>
  <si>
    <t xml:space="preserve">ЖДПП «Зауралье» — оснащение системой видеонаблюдения (СОТ + ЭОМ). ст. Зауралье, 76 км, пк 6+80 · Половинский р-н · Курганская обл. Проект 1102/23-Зауралье (АО «Оргэнергострой»), стадия «П». Дата анализа 03.08.2026. Вход: паспорт ИИ-руководителя проекта, ПД СОТ+ЭОМ, 4 ЛСР + ССРСС (Методика 2020).</t>
  </si>
  <si>
    <t xml:space="preserve">ЗАКЛЮЧЕНИЕ ПО ВОР (что просил ИИ-руководитель проекта: «подтверждаю / возвращаю»)</t>
  </si>
  <si>
    <t xml:space="preserve">🔴 ВОЗВРАЩАЮ</t>
  </si>
  <si>
    <t xml:space="preserve">Объёмы «выноса и возврата контактной сети РЖД» (200,0 км, ~⅔ монтажа ЭОМ) НЕ подтверждаются проектным решением РД. Проект пересекает контактную сеть проколами ГНБ на 3 м и держит опоры ≥2 м от КС (ТУ РЖД, пп.5–6) — то есть КОНТАКТНАЯ СЕТЬ ПО ПРОЕКТУ НЕ ТРОГАЕТСЯ, кроме 3 мест установки жёстких поперечин П-перехода. Пока РЖД/Заказчик не подтвердят фактически требуемый вынос — себестоимость недостоверна, любая цифра маржи на 40–55 млн руб «выноса КС» = гадание. Остальные разделы (СИП, заземление, состав) — принимаю с замечаниями (🟡).</t>
  </si>
  <si>
    <t xml:space="preserve">ТОП-НАХОДКИ (в порядке денежного веса и риска)</t>
  </si>
  <si>
    <t xml:space="preserve">#</t>
  </si>
  <si>
    <t xml:space="preserve">Находка (инженерная истина)</t>
  </si>
  <si>
    <t xml:space="preserve">Кол-во / факт</t>
  </si>
  <si>
    <t xml:space="preserve">Статус</t>
  </si>
  <si>
    <t xml:space="preserve">Кому по конвейеру</t>
  </si>
  <si>
    <t xml:space="preserve">1</t>
  </si>
  <si>
    <t xml:space="preserve">«Вынос/возврат контактной сети» в смете ЭОМ (расц. ГЭСНм20-03-035) не имеет опоры в РД: проект решает пересечения КС проколами ГНБ, опоры ≥2 м от КС. Обоснован вынос ТОЛЬКО в 3 местах жёстких поперечин.</t>
  </si>
  <si>
    <t xml:space="preserve">200,04 км в смете; физически на станции ~17–20 км всех проводов</t>
  </si>
  <si>
    <t xml:space="preserve">🔴</t>
  </si>
  <si>
    <t xml:space="preserve">ИИ-сметчик (пересчёт ВОР) · ИИ-экономист (маржа) · ИИ-договорник (закрытие КС-2)</t>
  </si>
  <si>
    <t xml:space="preserve">2</t>
  </si>
  <si>
    <t xml:space="preserve">Реверс объёма: 127 опор × 0,12…0,48 км зоны на опору. При шаге опор 20 м зоны 120 м перекрываются ~6×; блок ВЛ 45,72+60,96=106,68 км физически невозможен на станции 2,5 км.</t>
  </si>
  <si>
    <t xml:space="preserve">перекрытие ~6× · ВЛ 106,68 км = 42× длины станции</t>
  </si>
  <si>
    <t xml:space="preserve">ИИ-сметчик · ИИ-экономист</t>
  </si>
  <si>
    <t xml:space="preserve">3</t>
  </si>
  <si>
    <t xml:space="preserve">Контроль метода: длина СИП-4 в смете идеально бьётся с кабельным журналом РД — сметчик умеет считать по РД. Значит блок КС — чужеродная вставка/шаблон, а не общая ошибка.</t>
  </si>
  <si>
    <t xml:space="preserve">смета 4,96 км ≈ КЖ 4,955 км · Δ 0,1%</t>
  </si>
  <si>
    <t xml:space="preserve">🟢</t>
  </si>
  <si>
    <t xml:space="preserve">— (доказательство к находке 1)</t>
  </si>
  <si>
    <t xml:space="preserve">4</t>
  </si>
  <si>
    <t xml:space="preserve">Оборудование СОТ (202 камеры, 2×СХД 384 Тб, 8×РЛС Orwell-R, 8×НЕО, 36 коммутаторов, ИБП) в смете как ПОСТАВКА отсутствует; заведены только монтаж (труд) + криптошлюзы ViPNet 1,39 млн.</t>
  </si>
  <si>
    <t xml:space="preserve">оборуд. в смете 2,22 млн ← реально десятки млн</t>
  </si>
  <si>
    <t xml:space="preserve">ИИ-снабженец (КП/объём) · ИИ-договорник (давальческое?)</t>
  </si>
  <si>
    <t xml:space="preserve">5</t>
  </si>
  <si>
    <t xml:space="preserve">Расчёт нагрузок ЭОМ методологически некорректен: «расчётный ток 95,28 А» — арифметическая сумма токов ветвей без учёта распределения по фазам. Фактический макс. фазный ток ≈ 58 А (согласуется с вводным С63), но декларация 95,28 А вводит в заблуждение.</t>
  </si>
  <si>
    <t xml:space="preserve">деклар. 95,28 А vs факт ≈ 57,7 А (макс. фаза)</t>
  </si>
  <si>
    <t xml:space="preserve">🟡</t>
  </si>
  <si>
    <t xml:space="preserve">— (принять к сведению; на КС-2 не влияет)</t>
  </si>
  <si>
    <t xml:space="preserve">6</t>
  </si>
  <si>
    <t xml:space="preserve">Перекос фаз по нагрузке: L1≈57,7 А, L2≈42,2 А, L3≈57,2 А — асимметрия ~27%. Вводной С63 загружен на ~92%. Рекомендую перераспределить однофазные потребители на L2.</t>
  </si>
  <si>
    <t xml:space="preserve">асимметрия 27% · загрузка ввода 92%</t>
  </si>
  <si>
    <t xml:space="preserve">— (уточнение РД)</t>
  </si>
  <si>
    <t xml:space="preserve">7</t>
  </si>
  <si>
    <t xml:space="preserve">Отопление блок-контейнера: ПЗ ЭОМ пишет «кондиционеры на обогрев зимой», но при −35…−40 °C (Курган) сплит-система не греет; в паспорте — электроконвекторы 1,5 кВт, которых НЕТ в таблице нагрузок. Плюс марка сплита: спец Candy, чертёж LG — расхождение.</t>
  </si>
  <si>
    <t xml:space="preserve">недоучёт ~1,5 кВт · сплит на обогрев неработоспособен</t>
  </si>
  <si>
    <t xml:space="preserve">ИИ-сметчик (нагрузка) · ИИ-снабженец (марка)</t>
  </si>
  <si>
    <t xml:space="preserve">8</t>
  </si>
  <si>
    <t xml:space="preserve">Резерв/АВР и внешнее электроснабжение (ТП с СУЭНКО и РЖД-Трансэнерго) отнесены «на отдельный проект» — I категория надёжности в рамках данной РД НЕ обеспечена; питания объекта в смете/объёме нет.</t>
  </si>
  <si>
    <t xml:space="preserve">2-й ввод + АВР + ТП вне проекта</t>
  </si>
  <si>
    <t xml:space="preserve">ИИ-договорник (объём/риск) · ИИ-экономист</t>
  </si>
  <si>
    <t xml:space="preserve">9</t>
  </si>
  <si>
    <t xml:space="preserve">Устаревшие/ошибочные нормы в ПЗ (Урок Д-6): СП 6.13130.2009 (сейчас 2025), СНиП 3.05.06-85 (→ СП 76.13330.2016), МГСН 4.04-94 (московские, неприменимы), «СНиП 21-02-97* Пож.без. зданий» — ошибка (21-02-97 = «Стоянки автомобилей»).</t>
  </si>
  <si>
    <t xml:space="preserve">4 устаревшие/ошибочные ссылки</t>
  </si>
  <si>
    <t xml:space="preserve">ИИ-ПТО (экспертиза/ИД) · проектировщик</t>
  </si>
  <si>
    <t xml:space="preserve">10</t>
  </si>
  <si>
    <t xml:space="preserve">НДС в смете 20% (ФЗ 303-ФЗ), с 01.01.2026 — 22% (ФЗ 425-ФЗ). Работы 2026 → недобор ~2,0 млн при твёрдой цене (флаг ИИ-руководителя проекта №1).</t>
  </si>
  <si>
    <t xml:space="preserve">недобор НДС ~2,0 млн</t>
  </si>
  <si>
    <t xml:space="preserve">ИИ-экономист · ИИ-договорник</t>
  </si>
  <si>
    <t xml:space="preserve">Логика заключения — кодекс ГИПа: «Строй по чертежу. Есть расхождение — меняй чертёж (официально, через ПТР/РД-изменение)». Чертёж говорит ГНБ-прокол → смета не должна нести 200 км выноса КС. Расхождение РД↔смета вскрыто и передано в конвейер, а не спрятано в будущий акт разногласий при КС-2.</t>
  </si>
  <si>
    <t xml:space="preserve">НОРМАТИВНЫЙ ПРОФИЛЬ ОБЪЕКТА · статус проверен веб-поиском 03.08.2026 (Урок Д-6)</t>
  </si>
  <si>
    <t xml:space="preserve">ШАГ А. КЛАССИФИКАЦИЯ ОБЪЕКТА</t>
  </si>
  <si>
    <t xml:space="preserve">Параметр</t>
  </si>
  <si>
    <t xml:space="preserve">Значение</t>
  </si>
  <si>
    <t xml:space="preserve">Вид работ</t>
  </si>
  <si>
    <t xml:space="preserve">Актуализация ПСД / оснащение системой (техперевооружение действующей ж/д станции). НЕ капстрой в классике — монтаж систем.</t>
  </si>
  <si>
    <t xml:space="preserve">Класс</t>
  </si>
  <si>
    <t xml:space="preserve">Слаботочка (СОТ: видеонаблюдение, СКС, ВОЛС, СГЭП, РЛС) + электроснабжение 0,4 кВ (ЭОМ) на действующей инфраструктуре РЖД.</t>
  </si>
  <si>
    <t xml:space="preserve">Особый режим</t>
  </si>
  <si>
    <t xml:space="preserve">Погранпункт пропуска через госграницу → категорированные помещения (ФЗ 5485-1, спецпроверки ФСБ/ФСТЭК). Действующая контактная сеть 27,5 кВ → электробезопасность, «окна» РЖД.</t>
  </si>
  <si>
    <t xml:space="preserve">Дисциплины</t>
  </si>
  <si>
    <t xml:space="preserve">ЭОМ · СОТ/СКС/ВОЛС · конструктив (опоры, ригели, фундаменты) · земляные (проколы ГНБ) · заземление · пожарная безопасность.</t>
  </si>
  <si>
    <t xml:space="preserve">Имею</t>
  </si>
  <si>
    <t xml:space="preserve">ПД стадия «П» (СОТ+ЭОМ), 4 ЛСР + ССРСС (Методика 2020), паспорт ИИ-руководителя проекта.</t>
  </si>
  <si>
    <t xml:space="preserve">Нужно дополнительно</t>
  </si>
  <si>
    <t xml:space="preserve">РД стадия «Р» для точных объёмов · полные ТУ РЖД · проект внешнего электроснабжения (ТП) · СТУ/задание по категорированным помещениям · ведомость опор с координатами и точный подсчёт камер.</t>
  </si>
  <si>
    <t xml:space="preserve">ШАГ Б. НОРМАТИВЫ ПО ДИСЦИПЛИНАМ + СТАТУС (❌ ловушка / ⚠️ уточнить / ✅ действует)</t>
  </si>
  <si>
    <t xml:space="preserve">Документ (как в ПЗ / применимый)</t>
  </si>
  <si>
    <t xml:space="preserve">Назначение</t>
  </si>
  <si>
    <t xml:space="preserve">Комментарий ИИ-ГИП (действующий аналог / пункт)</t>
  </si>
  <si>
    <t xml:space="preserve">ГрК РФ; ПП РФ №87</t>
  </si>
  <si>
    <t xml:space="preserve">Состав ПД</t>
  </si>
  <si>
    <t xml:space="preserve">✅</t>
  </si>
  <si>
    <t xml:space="preserve">Действует. Объект — актуализация ПСД, не новый капстрой.</t>
  </si>
  <si>
    <t xml:space="preserve">ФЗ-123 (ТР о треб. пож. без.)</t>
  </si>
  <si>
    <t xml:space="preserve">Пожарная безопасность</t>
  </si>
  <si>
    <t xml:space="preserve">Действует (с изм. ФЗ-117 от 14.04.2021).</t>
  </si>
  <si>
    <t xml:space="preserve">ПУЭ, изд. 7</t>
  </si>
  <si>
    <t xml:space="preserve">Электроустановки 0,4 кВ</t>
  </si>
  <si>
    <t xml:space="preserve">Действует по применимым главам. Кат. надёжности, заземление TN-C-S — гл.1.7.</t>
  </si>
  <si>
    <t xml:space="preserve">СП 6.13130.2009 (в ПЗ)</t>
  </si>
  <si>
    <t xml:space="preserve">Электрооборуд. систем ПЗ</t>
  </si>
  <si>
    <t xml:space="preserve">❌</t>
  </si>
  <si>
    <t xml:space="preserve">Устарела на 2 поколения. ДЕЙСТВУЕТ СП 6.13130.2025 (приказ МЧС №1263 от 29.12.2025; ред. 2021 не действует с 30.06.2026).</t>
  </si>
  <si>
    <t xml:space="preserve">СНиП 3.05.06-85 (в ПЗ)</t>
  </si>
  <si>
    <t xml:space="preserve">Электромонтаж</t>
  </si>
  <si>
    <t xml:space="preserve">⚠️</t>
  </si>
  <si>
    <t xml:space="preserve">Актуализирован → СП 76.13330.2016 (приказ Минстроя 955/пр, введён 17.06.2017). Ссылаться на действующий СП.</t>
  </si>
  <si>
    <t xml:space="preserve">СНиП 31-06-2009 (в ПЗ)</t>
  </si>
  <si>
    <t xml:space="preserve">Общественные здания</t>
  </si>
  <si>
    <t xml:space="preserve">К объекту НЕприменим (не обществ. здание). Актуальный аналог — СП 118.13330.2022.</t>
  </si>
  <si>
    <t xml:space="preserve">МГСН 4.04-94 (в ПЗ)</t>
  </si>
  <si>
    <t xml:space="preserve">Многофункц. здания</t>
  </si>
  <si>
    <t xml:space="preserve">Региональные МОСКОВСКИЕ нормы — в Курганской обл. неприменимы, к тому же устарели. Исключить.</t>
  </si>
  <si>
    <t xml:space="preserve">«СНиП 21-02-97* Пож.без. зданий» (в ПЗ)</t>
  </si>
  <si>
    <t xml:space="preserve">—</t>
  </si>
  <si>
    <t xml:space="preserve">Ошибка ссылки: 21-02-97 = «Стоянки автомобилей». Пож.без. зданий = СНиП 21-01-97* → своды 13130.</t>
  </si>
  <si>
    <t xml:space="preserve">ГОСТ Р 50571 (серия)</t>
  </si>
  <si>
    <t xml:space="preserve">Электроустановки зданий</t>
  </si>
  <si>
    <t xml:space="preserve">Серия действует; проверить актуальность частей при РД.</t>
  </si>
  <si>
    <t xml:space="preserve">ГОСТ Р 53315-2009</t>
  </si>
  <si>
    <t xml:space="preserve">Кабельные изделия, ПБ</t>
  </si>
  <si>
    <t xml:space="preserve">Действует. ВВГнг(A)-LS в блок-контейнере — обоснованно.</t>
  </si>
  <si>
    <t xml:space="preserve">СП 256.1325800.2016</t>
  </si>
  <si>
    <t xml:space="preserve">Электроустановки жилых/обществ.</t>
  </si>
  <si>
    <t xml:space="preserve">РЕКОМЕНДУЮ добавить в профиль (в ПЗ не указан) — базовый для 0,4 кВ.</t>
  </si>
  <si>
    <t xml:space="preserve">Приказ Минтруда №903н от 15.12.2020 (ПОТ ЭЭУ) + инстр. ЦЭ РЖД</t>
  </si>
  <si>
    <t xml:space="preserve">Работы у контактной сети</t>
  </si>
  <si>
    <t xml:space="preserve">Обосновывают ОГРАНИЧЕННЫЙ вынос КС (снятие напряжения, «окна», заземление) — но только там, где монтаж входит в габарит КС.</t>
  </si>
  <si>
    <t xml:space="preserve">ФЗ 5485-1; НД ФСБ/ФСТЭК</t>
  </si>
  <si>
    <t xml:space="preserve">Категорированные помещения</t>
  </si>
  <si>
    <t xml:space="preserve">Применимы. В смете отражены (Гл.9: СП и СИ 354,6 тыс. руб).</t>
  </si>
  <si>
    <t xml:space="preserve">ФСНБ-2022 / приказ 421/пр (Методика 2020) + индексы до 299/пр от 19.05.2025</t>
  </si>
  <si>
    <t xml:space="preserve">Сметная база</t>
  </si>
  <si>
    <t xml:space="preserve">Методика действующая. Индексы — на дату работ 2026 пересчитать (флаг ИИ-руководителя проекта №7). Домен ИИ-сметчика.</t>
  </si>
  <si>
    <t xml:space="preserve">ГЭСНм20-03-035 (сб.20)</t>
  </si>
  <si>
    <t xml:space="preserve">Вынос/возврат КС</t>
  </si>
  <si>
    <t xml:space="preserve">Расценка КОРРЕКТНА и действует. Вопрос НЕ к расценке, а к ОБЪЁМУ (см. лист 02).</t>
  </si>
  <si>
    <t xml:space="preserve">КОНТАКТНАЯ СЕТЬ: ОБЪЁМ СМЕТЫ vs ФИЗИКА vs РД (Уроки Д-1, Д-3)</t>
  </si>
  <si>
    <t xml:space="preserve">А. ИСХОДНАЯ ГЕОМЕТРИЯ (по осям опор РД)</t>
  </si>
  <si>
    <t xml:space="preserve">Ед.</t>
  </si>
  <si>
    <t xml:space="preserve">Источник</t>
  </si>
  <si>
    <t xml:space="preserve">Примечание</t>
  </si>
  <si>
    <t xml:space="preserve">Длина станции по осям опор</t>
  </si>
  <si>
    <t xml:space="preserve">км</t>
  </si>
  <si>
    <t xml:space="preserve">о.1…о.125, шаг 20 м</t>
  </si>
  <si>
    <t xml:space="preserve">ПЗ заявляет ~2,2 км; беру 2,5 км по осям (консервативно больше).</t>
  </si>
  <si>
    <t xml:space="preserve">Число путей (макс.)</t>
  </si>
  <si>
    <t xml:space="preserve">шт</t>
  </si>
  <si>
    <t xml:space="preserve">планы: Путь 1…7</t>
  </si>
  <si>
    <t xml:space="preserve">На большинстве листов 6 путей.</t>
  </si>
  <si>
    <t xml:space="preserve">Шаг опор</t>
  </si>
  <si>
    <t xml:space="preserve">планы (20000 мм)</t>
  </si>
  <si>
    <t xml:space="preserve">20 м между опорами.</t>
  </si>
  <si>
    <t xml:space="preserve">Всего опор (смета)</t>
  </si>
  <si>
    <t xml:space="preserve">ЛСР ЭОМ поз.12,32</t>
  </si>
  <si>
    <t xml:space="preserve">127 (≤0,6 т) + 6 (0,6–1 т).</t>
  </si>
  <si>
    <t xml:space="preserve">Зона выноса на опору (принято сметчиком)</t>
  </si>
  <si>
    <t xml:space="preserve">реверс расценки</t>
  </si>
  <si>
    <t xml:space="preserve">120 м на одну опору по каждому проводу.</t>
  </si>
  <si>
    <t xml:space="preserve">Б. ОБЪЁМ «ВЫНОС/ВОЗВРАТ КС» В СМЕТЕ (ЛСР ЭОМ, Раздел 2, ГЭСНм20-03-035)</t>
  </si>
  <si>
    <t xml:space="preserve">Элемент КС (расценка)</t>
  </si>
  <si>
    <t xml:space="preserve">Смета, км</t>
  </si>
  <si>
    <t xml:space="preserve">Реверс: опор×коэф</t>
  </si>
  <si>
    <t xml:space="preserve">Провод-эквив.</t>
  </si>
  <si>
    <t xml:space="preserve">Комментарий</t>
  </si>
  <si>
    <t xml:space="preserve">Провода контактной подвески (035-01)</t>
  </si>
  <si>
    <t xml:space="preserve">133 опоры × 0,12 км × 1 провод</t>
  </si>
  <si>
    <t xml:space="preserve">Усиливающий/питающий/экранирующий (035-02)</t>
  </si>
  <si>
    <t xml:space="preserve">×0,24 (2 провода на опору)</t>
  </si>
  <si>
    <t xml:space="preserve">Волновод (035-04)</t>
  </si>
  <si>
    <t xml:space="preserve">×0,12</t>
  </si>
  <si>
    <t xml:space="preserve">ВОК (035-05)</t>
  </si>
  <si>
    <t xml:space="preserve">×0,12; собственный ВОК проекта — по опорам, вынос действующего РЖД-ВОК не обоснован</t>
  </si>
  <si>
    <t xml:space="preserve">Провод группового заземления (035-06)</t>
  </si>
  <si>
    <t xml:space="preserve">ВЛ-25/6-10 кВ, провод №1 (035-03)</t>
  </si>
  <si>
    <t xml:space="preserve">×0,36 (3 провода)</t>
  </si>
  <si>
    <t xml:space="preserve">ВЛ-25/6-10 кВ, провод №2 (035-03)</t>
  </si>
  <si>
    <t xml:space="preserve">×0,48 (4 провода) — 106,68 км ВЛ суммарно</t>
  </si>
  <si>
    <t xml:space="preserve">Малый блок (поперечины П-перехода, 035-02/03/04/05/06)</t>
  </si>
  <si>
    <t xml:space="preserve">0,72+0,36+0,12+0,12+0,12+0,48 — ОБОСНОВАН (монтаж над путями)</t>
  </si>
  <si>
    <t xml:space="preserve">ИТОГО вынос/возврат по смете</t>
  </si>
  <si>
    <t xml:space="preserve">стр.55 (3 шт поперечин) — вне км-счёта</t>
  </si>
  <si>
    <t xml:space="preserve">Физически на станции (все провода)</t>
  </si>
  <si>
    <t xml:space="preserve">км ≈ N_путей × длина</t>
  </si>
  <si>
    <t xml:space="preserve">верхняя оценка: 7 путей × 2,5 км одного провода</t>
  </si>
  <si>
    <t xml:space="preserve">КРАТНОСТЬ смета / физика</t>
  </si>
  <si>
    <t xml:space="preserve">раз</t>
  </si>
  <si>
    <t xml:space="preserve">во столько раз объём выноса превышает наличие проводов</t>
  </si>
  <si>
    <t xml:space="preserve">Перекрытие рабочих зон соседних опор</t>
  </si>
  <si>
    <t xml:space="preserve">зона 120 м при шаге опор 20 м → один участок «вынесен» ~6 раз</t>
  </si>
  <si>
    <t xml:space="preserve">В. ДЕНЕЖНЫЙ ВЕС БЛОКА КС (НР+СП сняты из ЛСР; прямые — за ИИ-сметчиком)</t>
  </si>
  <si>
    <t xml:space="preserve">Показатель</t>
  </si>
  <si>
    <t xml:space="preserve">Сумма НР по блоку КС (Пр/812-062.0)</t>
  </si>
  <si>
    <t xml:space="preserve">млн ₽</t>
  </si>
  <si>
    <t xml:space="preserve">ЛСР ЭОМ, строки НР</t>
  </si>
  <si>
    <t xml:space="preserve">накладные 95% ФОТ</t>
  </si>
  <si>
    <t xml:space="preserve">Сумма СП по блоку КС (Пр/774-062.0)</t>
  </si>
  <si>
    <t xml:space="preserve">ЛСР ЭОМ, строки СП</t>
  </si>
  <si>
    <t xml:space="preserve">сметная прибыль 45% ФОТ</t>
  </si>
  <si>
    <t xml:space="preserve">ФОТ-база блока (≈НР/0,95)</t>
  </si>
  <si>
    <t xml:space="preserve">расчёт</t>
  </si>
  <si>
    <t xml:space="preserve">прямой труд бригады выноса</t>
  </si>
  <si>
    <t xml:space="preserve">Оценка полной стоимости блока КС (ФОТ+ЭМ+НР+СП)</t>
  </si>
  <si>
    <t xml:space="preserve">45–55</t>
  </si>
  <si>
    <t xml:space="preserve">оценка ИИ-ГИП</t>
  </si>
  <si>
    <t xml:space="preserve">≈⅔ Раздела 2 «Монтаж» (69,4 млн). Точно — ИИ-сметчик.</t>
  </si>
  <si>
    <t xml:space="preserve">Раздел 2 «Монтажные работы» ЭОМ, всего</t>
  </si>
  <si>
    <t xml:space="preserve">ЛСР ЭОМ</t>
  </si>
  <si>
    <t xml:space="preserve">для сравнения</t>
  </si>
  <si>
    <t xml:space="preserve">ВЫВОД. Проектное решение РД для пересечения КС — прокол ГНБ на 3 м под КС + опоры ≥2 м от КС (ТУ РЖД пп.5–6). Значит вынос/возврат контактной сети по проекту требуется ТОЛЬКО в 3 местах жёстких поперечин П-перехода (малый блок 1,92 км + 3 шт). Большой блок 198 км (~45–55 млн ₽) проектом НЕ обоснован. Риск двусторонний: при твёрдой цене это «воздух»/потенциальная маржа, НО его нельзя закрыть при КС-2 (нельзя актировать невыполненный вынос), он снимается ценовым аудитом (Гл.12 ССРСС) и требует реальных «окон» РЖД + бригады ЭЧ, если делать по-настоящему. Без письменного ответа РЖД/Заказчика о фактически требуемом выносе — ВОР возвращаю.</t>
  </si>
  <si>
    <t xml:space="preserve">СВЕРКА СОСТАВА: ПД (РД) vs СМЕТА (Урок Д-3)</t>
  </si>
  <si>
    <t xml:space="preserve">Позиция</t>
  </si>
  <si>
    <t xml:space="preserve">По РД / ПД</t>
  </si>
  <si>
    <t xml:space="preserve">По смете</t>
  </si>
  <si>
    <t xml:space="preserve">Комментарий ИИ-ГИП</t>
  </si>
  <si>
    <t xml:space="preserve">Опоры под СИП/камеры</t>
  </si>
  <si>
    <t xml:space="preserve">о.1…о.125 (≈125 в нумерации)</t>
  </si>
  <si>
    <t xml:space="preserve">133 шт (127+6)</t>
  </si>
  <si>
    <t xml:space="preserve">Δ ~8 — нужен точный подсчёт опор по РД; в целом сходится.</t>
  </si>
  <si>
    <t xml:space="preserve">Анкеры ж/б (фундаменты)</t>
  </si>
  <si>
    <t xml:space="preserve">по числу опор</t>
  </si>
  <si>
    <t xml:space="preserve">133 шт</t>
  </si>
  <si>
    <t xml:space="preserve">1 анкер на опору — корректно.</t>
  </si>
  <si>
    <t xml:space="preserve">Жёсткие поперечины (ригели П-перехода)</t>
  </si>
  <si>
    <t xml:space="preserve">3 ригеля (лист П-перехода)</t>
  </si>
  <si>
    <t xml:space="preserve">3 шт</t>
  </si>
  <si>
    <t xml:space="preserve">Сходится. Единственное обоснованное место выноса КС.</t>
  </si>
  <si>
    <t xml:space="preserve">СИП-4 4×25 (подвеска)</t>
  </si>
  <si>
    <t xml:space="preserve">КЖ ЭОМ Σ ≈ 4,955 км</t>
  </si>
  <si>
    <t xml:space="preserve">4,96 км</t>
  </si>
  <si>
    <t xml:space="preserve">Δ 0,1% — эталон честного счёта по РД.</t>
  </si>
  <si>
    <t xml:space="preserve">Камеры видеонаблюдения</t>
  </si>
  <si>
    <t xml:space="preserve">202 шт (ПЗ СОТ)</t>
  </si>
  <si>
    <t xml:space="preserve">191 шт (монтаж)</t>
  </si>
  <si>
    <t xml:space="preserve">Δ 11 шт; плюс модель: ПЗ NIC-4 (4 Мп), спец NIC-8 (8 Мп), легенда «4/16 Мп» — расхождение разрешения.</t>
  </si>
  <si>
    <t xml:space="preserve">Оборудование СОТ (серверы, РЛС, НЕО, коммутаторы, ИБП)</t>
  </si>
  <si>
    <t xml:space="preserve">2×СХД 384 Тб, 8×РЛС, 8×НЕО, 36 коммут., ИБП</t>
  </si>
  <si>
    <t xml:space="preserve">как ПОСТАВКА нет; только монтаж + криптошлюзы 1,39 млн</t>
  </si>
  <si>
    <t xml:space="preserve">Объём поставки не определён (давальческое/отдельный договор). Флаг №3 ИИ-руководителя проекта — ИИ-снабженцу/ИИ-договорнику.</t>
  </si>
  <si>
    <t xml:space="preserve">Блок-контейнер</t>
  </si>
  <si>
    <t xml:space="preserve">чертёж: 2 шт (5850 + 5100 мм)</t>
  </si>
  <si>
    <t xml:space="preserve">1 шт (≈35 м³ ≈ 6,1 м) — как в паспорте</t>
  </si>
  <si>
    <t xml:space="preserve">Противоречие: чертёж 2 контейнера, паспорт/смета 1 (6,1×2,4). Разрешить.</t>
  </si>
  <si>
    <t xml:space="preserve">Сплит-системы</t>
  </si>
  <si>
    <t xml:space="preserve">2 шт (чертёж LG P09ED / спец Candy)</t>
  </si>
  <si>
    <t xml:space="preserve">2 нар. + 2 внутр.</t>
  </si>
  <si>
    <t xml:space="preserve">Марка не совпадает (Candy vs LG). Обогрев сплитом при −40 °C нереален.</t>
  </si>
  <si>
    <t xml:space="preserve">Электроконвекторы (отопление)</t>
  </si>
  <si>
    <t xml:space="preserve">паспорт: 1,5 кВт</t>
  </si>
  <si>
    <t xml:space="preserve">Отопление есть в паспорте, но нагрузки НЕТ в таблице ЭОМ — недоучёт ~1,5 кВт.</t>
  </si>
  <si>
    <t xml:space="preserve">Заземление опор</t>
  </si>
  <si>
    <t xml:space="preserve">ПЗ: штыри 6 м; спец: УКЗУ к рельсу</t>
  </si>
  <si>
    <t xml:space="preserve">клеммы 130 шт; верт. заземл. до 3 м — 5 шт</t>
  </si>
  <si>
    <t xml:space="preserve">Внутреннее противоречие РД (штырь vs рельс). 5 верт. заземл. — только контур блок-контейнера. Молниезащита высоких опор у КС 27,5 кВ не отражена.</t>
  </si>
  <si>
    <t xml:space="preserve">Плиты ж/б под блок-контейнер</t>
  </si>
  <si>
    <t xml:space="preserve">ПП-6 6000×2000×140</t>
  </si>
  <si>
    <t xml:space="preserve">ГЭСН27-06 (0,0504·100 м³)</t>
  </si>
  <si>
    <t xml:space="preserve">Сходится.</t>
  </si>
  <si>
    <t xml:space="preserve">Вынос/возврат контактной сети</t>
  </si>
  <si>
    <t xml:space="preserve">проектом НЕ предусмотрен (ГНБ-проколы + опоры ≥2 м)</t>
  </si>
  <si>
    <t xml:space="preserve">200,04 км (расц. ГЭСНм20-03-035)</t>
  </si>
  <si>
    <t xml:space="preserve">Ядро возврата ВОР — см. лист 02.</t>
  </si>
  <si>
    <t xml:space="preserve">ПРОВЕРКА ЭОМ: нагрузки, фазы, падение напряжения (Урок Д-2, расчёт 5 блоков)</t>
  </si>
  <si>
    <t xml:space="preserve">Блок 1. Исходные данные (из ПЗ ЭОМ, табл.1)</t>
  </si>
  <si>
    <t xml:space="preserve">U линейное</t>
  </si>
  <si>
    <t xml:space="preserve">В</t>
  </si>
  <si>
    <t xml:space="preserve">ПЗ ЭОМ</t>
  </si>
  <si>
    <t xml:space="preserve">U фазное</t>
  </si>
  <si>
    <t xml:space="preserve">cos φ</t>
  </si>
  <si>
    <t xml:space="preserve">√3</t>
  </si>
  <si>
    <t xml:space="preserve">константа</t>
  </si>
  <si>
    <t xml:space="preserve">Ном. вводного автомата (S203 C63)</t>
  </si>
  <si>
    <t xml:space="preserve">А</t>
  </si>
  <si>
    <t xml:space="preserve">однолин. ГРЩ1</t>
  </si>
  <si>
    <t xml:space="preserve">P 3-фазных групп Гр1…Гр5 (актив.)</t>
  </si>
  <si>
    <t xml:space="preserve">кВт</t>
  </si>
  <si>
    <t xml:space="preserve">3,1+2,0+4,3+4,3+4,6</t>
  </si>
  <si>
    <t xml:space="preserve">P однофазных на L1 (ШВ1+Конд1)</t>
  </si>
  <si>
    <t xml:space="preserve">3,31+2,0</t>
  </si>
  <si>
    <t xml:space="preserve">P однофазных на L2 (РЩ1.1+РЩ1.2+Гр6)</t>
  </si>
  <si>
    <t xml:space="preserve">0,92+0,82+0,5</t>
  </si>
  <si>
    <t xml:space="preserve">P однофазных на L3 (ШВ2+Конд2)</t>
  </si>
  <si>
    <t xml:space="preserve">3,2+2,0</t>
  </si>
  <si>
    <t xml:space="preserve">Блок 2–3. Расчёт фазных токов (формулы)</t>
  </si>
  <si>
    <t xml:space="preserve">Величина</t>
  </si>
  <si>
    <t xml:space="preserve">Формула → значение</t>
  </si>
  <si>
    <t xml:space="preserve">Ток 3-ф части на фазу</t>
  </si>
  <si>
    <t xml:space="preserve">распределён по L1,L2,L3 поровну</t>
  </si>
  <si>
    <t xml:space="preserve">I(L1) = 3ф + однофаз. L1</t>
  </si>
  <si>
    <t xml:space="preserve">I(L2) = 3ф + однофаз. L2</t>
  </si>
  <si>
    <t xml:space="preserve">I(L3) = 3ф + однофаз. L3</t>
  </si>
  <si>
    <t xml:space="preserve">I макс. по фазам</t>
  </si>
  <si>
    <t xml:space="preserve">фактический расчётный ток ввода</t>
  </si>
  <si>
    <t xml:space="preserve">Загрузка вводного С63</t>
  </si>
  <si>
    <t xml:space="preserve">доля</t>
  </si>
  <si>
    <t xml:space="preserve">🟡 ~0,92 — на пределе</t>
  </si>
  <si>
    <t xml:space="preserve">Асимметрия фаз (Imax−Imin)/Imax</t>
  </si>
  <si>
    <t xml:space="preserve">🟡 ~27% — перераспределить на L2</t>
  </si>
  <si>
    <t xml:space="preserve">Декларировано в ПЗ «расчётный ток»</t>
  </si>
  <si>
    <t xml:space="preserve">🔴 сумма токов ВЕТВЕЙ, не тока ввода</t>
  </si>
  <si>
    <t xml:space="preserve">Блок 4. Падение напряжения на длинной магистрали СИП (Гр.3)</t>
  </si>
  <si>
    <t xml:space="preserve">Источник/примечание</t>
  </si>
  <si>
    <t xml:space="preserve">Ток головного участка</t>
  </si>
  <si>
    <t xml:space="preserve">ПЗ табл.1, Гр.3</t>
  </si>
  <si>
    <t xml:space="preserve">Длина магистрали</t>
  </si>
  <si>
    <t xml:space="preserve">структурная схема (1760 м)</t>
  </si>
  <si>
    <t xml:space="preserve">R СИП-4 25 мм² (Al)</t>
  </si>
  <si>
    <t xml:space="preserve">Ом/км</t>
  </si>
  <si>
    <t xml:space="preserve">справ.</t>
  </si>
  <si>
    <t xml:space="preserve">X СИП-4 25 мм²</t>
  </si>
  <si>
    <t xml:space="preserve">sin φ</t>
  </si>
  <si>
    <t xml:space="preserve">при cosφ=0,9</t>
  </si>
  <si>
    <t xml:space="preserve">ΔU (нагрузка в конце, худший случай)</t>
  </si>
  <si>
    <t xml:space="preserve">ΔU %, худший случай</t>
  </si>
  <si>
    <t xml:space="preserve">🟡 ~6,8% &gt; 5%</t>
  </si>
  <si>
    <t xml:space="preserve">ΔU % с учётом распределённой нагрузки (~0,55×)</t>
  </si>
  <si>
    <t xml:space="preserve">≈3,7% — допустимо; проверить методом моментов</t>
  </si>
  <si>
    <t xml:space="preserve">Блок 5. ДОПУЩЕНИЯ И ПРОБЕЛЫ: (1) R/X СИП приняты справочно — уточнить по паспорту кабеля; (2) распределение нагрузки по магистрали принято равномерным — нужен точный расчёт методом моментов по кабельному журналу; (3) не учтён пусковой ток и одновременность; (4) молниезащита/ОПН высоких опор у КС 27,5 кВ в РД не показана; (5) отопление блок-контейнера (конвекторы 1,5 кВт) не в балансе. Вывод по ЭОМ (0,4 кВ): 🟡 принять с замечаниями — на возврат ВОР по контактной сети не влияет, но требует правок РД перед стройкой.</t>
  </si>
  <si>
    <t xml:space="preserve">ЛИСТ ЗАМЕЧАНИЙ К РД/СМЕТЕ (для ИИ-договорника и проектировщика)</t>
  </si>
  <si>
    <t xml:space="preserve">Замечание / расхождение</t>
  </si>
  <si>
    <t xml:space="preserve">Действие / адресат</t>
  </si>
  <si>
    <t xml:space="preserve">Объём «вынос/возврат КС» (200 км, ~45–55 млн) не подтверждён РД: пересечения решены ГНБ, опоры ≥2 м от КС. Обоснован вынос только в 3 местах поперечин П-перехода.</t>
  </si>
  <si>
    <t xml:space="preserve">Запрос в РЖД/ЭЧ: фактически требуемый вынос при монтаже опор. Пересчёт ВОР — ИИ-сметчик.</t>
  </si>
  <si>
    <t xml:space="preserve">Оборудование СОТ (десятки млн) в смете отсутствует как поставка.</t>
  </si>
  <si>
    <t xml:space="preserve">Определить объём: давальческое/отд. договор — ИИ-договорник + ИИ-снабженец.</t>
  </si>
  <si>
    <t xml:space="preserve">НДС 20% в смете; с 01.01.2026 — 22%. Недобор ~2,0 млн при твёрдой цене.</t>
  </si>
  <si>
    <t xml:space="preserve">Формулировка в договор — ИИ-договорник; пересчёт — ИИ-экономист.</t>
  </si>
  <si>
    <t xml:space="preserve">СП 6.13130.2009, СНиП 3.05.06-85, МГСН 4.04-94, «СНиП 21-02-97*» — устаревшие/ошибочные ссылки в ПЗ.</t>
  </si>
  <si>
    <t xml:space="preserve">Замечание проектировщику; для экспертизы — ИИ-ПТО.</t>
  </si>
  <si>
    <t xml:space="preserve">I категория/АВР и внешнее электроснабжение (ТП) — «на отдельный проект»: питание объекта в объёме/смете отсутствует.</t>
  </si>
  <si>
    <t xml:space="preserve">Уточнить границы проекта — ИИ-договорник.</t>
  </si>
  <si>
    <t xml:space="preserve">Отопление блок-контейнера: сплит на обогрев при −40 °C неработоспособен; конвекторы 1,5 кВт не в балансе нагрузок; марка сплита (Candy/LG) расходится.</t>
  </si>
  <si>
    <t xml:space="preserve">Правка РД + баланс — проектировщик/ИИ-сметчик.</t>
  </si>
  <si>
    <t xml:space="preserve">Заземление опор: противоречие РД (штыри 6 м vs УКЗУ к рельсу); молниезащита высоких опор у КС не показана.</t>
  </si>
  <si>
    <t xml:space="preserve">Правка РД; при РД уточнить — проектировщик.</t>
  </si>
  <si>
    <t xml:space="preserve">Расчётный ток ПЗ 95,28 А — сумма токов ветвей (метод неверен); факт ≈ 58 А; перекос фаз 27%.</t>
  </si>
  <si>
    <t xml:space="preserve">Правка расчёта РД; на смету не влияет.</t>
  </si>
  <si>
    <t xml:space="preserve">Камеры: смета 191 vs ПД 202; разрешение 4/8/16 Мп по документам расходится.</t>
  </si>
  <si>
    <t xml:space="preserve">Сверить спецификацию — ИИ-снабженец.</t>
  </si>
  <si>
    <t xml:space="preserve">Блок-контейнер: чертёж 2 шт vs паспорт/смета 1 шт.</t>
  </si>
  <si>
    <t xml:space="preserve">Разрешить — проектировщик; объём — ИИ-сметчик.</t>
  </si>
  <si>
    <t xml:space="preserve">ЧТО НЕСУ ДАЛЬШЕ ПО КОНВЕЙЕРУ (порядок ИИ-руководителя проекта: ИИ-ГИП → ИИ-сметчик → ИИ-снабженец/ИИ-подрядчик → ИИ-ПТО/ИИ-договорник → ИИ-экономист → ИИ-администратор)</t>
  </si>
  <si>
    <t xml:space="preserve">→ ИИ-сметчику (Смета)</t>
  </si>
  <si>
    <t xml:space="preserve">ВОР ВОЗВРАЩЁН на пересчёт. Убрать/пересчитать блок «вынос КС» (оставить обоснованные: малый блок поперечин 1,92 км + 3 шт). Пересчитать II кв.2025 → 2026 (индексы). Разложить НР/СП: сметные vs реальные. СИП-4 4,96 км — эталон, принят.</t>
  </si>
  <si>
    <t xml:space="preserve">→ ИИ-экономисту (Эконом)</t>
  </si>
  <si>
    <t xml:space="preserve">БЕЗ моего «ОК по ВОР» финмодель НЕ считать. Ключевой сценарий: 45–55 млн «выноса КС» — это реальная выручка или «воздух»? От ответа зависит знак маржи. Учесть НДС 22% (−2 млн) и простои «окон» РЖД.</t>
  </si>
  <si>
    <t xml:space="preserve">→ ИИ-снабженцу (Снаб)</t>
  </si>
  <si>
    <t xml:space="preserve">Оборудование СОТ (202 камеры, 2×СХД, 8×РЛС, 8×НЕО, 36 коммут., ИБП) — наша поставка или давальческое? КП + сроки поставки до ст. Зауралье. Сверить марку/разрешение камер (4/8/16 Мп) и сплит (Candy/LG).</t>
  </si>
  <si>
    <t xml:space="preserve">→ ИИ-подрядчику (Подряд)</t>
  </si>
  <si>
    <t xml:space="preserve">Монтаж на действующих путях у КС 27,5 кВ: подрядчик с допуском к работам на контактной сети и в «окна» РЖД (бригада ЭЧ). Спецтехника: автогидроподъёмник, вибропогружатель — аренда vs субподряд.</t>
  </si>
  <si>
    <t xml:space="preserve">→ ИИ-ПТО (ПТО)</t>
  </si>
  <si>
    <t xml:space="preserve">ИД под ж/д + категорированный объект: аккредит. электролаборатория (заземление, ΔU, петля фаза-ноль), допуски РЖД, спецпроверки ФСБ (ФЗ 5485-1). На КС-2 нельзя закрыть невыполненный «вынос КС» — держать под контролем.</t>
  </si>
  <si>
    <t xml:space="preserve">→ ИИ-договорнику (Договор)</t>
  </si>
  <si>
    <t xml:space="preserve">Объём: оборудование и внешнее электроснабжение (ТП) в нашем договоре или у заказчика? НДС 22% — формулировка. Риски простоя по «окнам» РЖД — чьи. Объёмы «выноса КС» — билабельны ли при твёрдой цене.</t>
  </si>
  <si>
    <t xml:space="preserve">→ ИИ-администратору (Админ)</t>
  </si>
  <si>
    <t xml:space="preserve">Внести замечания (лист 05) в реестр поручений с датами; статус ВОР = 🔴 возвращён; собрать пакет к возврату ИИ-руководителю проекта.</t>
  </si>
  <si>
    <t xml:space="preserve">→ ИИ-руководителю проекта (РП)</t>
  </si>
  <si>
    <t xml:space="preserve">Красный флаг №2 подтверждаю и уточняю: не «половина», а ~⅔ монтажа ЭОМ; объём 200 км при физике ~17–20 км, кратность ~10×. Заключение по ВОР: 🔴 ВОЗВРАЩАЮ до ответа РЖД. Себес недостоверен, пока блок КС не разрешён.</t>
  </si>
  <si>
    <t xml:space="preserve">ИИ-ГИП · СтройИнтеллект.ГИП v8.2. Каждая цифра — с источником. Статусы норм проверены веб-поиском 03.08.2026. Опора: ПД 1102/23-Зауралье (СОТ+ЭОМ), 4 ЛСР + ССРСС (Методика 2020), паспорт ИИ-руководителя проекта. Кодекс: строй по чертежу — есть расхождение, меняй чертёж официально.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</si>
</sst>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.5"/>
      <color rgb="FF40404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.5"/>
      <color rgb="FF548235"/>
      <name val="Arial"/>
      <family val="0"/>
      <charset val="1"/>
    </font>
    <font>
      <b val="true"/>
      <sz val="9.5"/>
      <color rgb="FFBF8F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F2F2F2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25.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25.5" hidden="false" customHeight="true" outlineLevel="0" collapsed="false">
      <c r="A6" s="4"/>
      <c r="B6" s="4"/>
      <c r="C6" s="5"/>
      <c r="D6" s="5"/>
      <c r="E6" s="5"/>
    </row>
    <row r="7" customFormat="false" ht="25.5" hidden="false" customHeight="true" outlineLevel="0" collapsed="false">
      <c r="A7" s="4"/>
      <c r="B7" s="4"/>
      <c r="C7" s="5"/>
      <c r="D7" s="5"/>
      <c r="E7" s="5"/>
    </row>
    <row r="9" customFormat="false" ht="19.5" hidden="false" customHeight="true" outlineLevel="0" collapsed="false">
      <c r="A9" s="3" t="s">
        <v>5</v>
      </c>
      <c r="B9" s="3"/>
      <c r="C9" s="3"/>
      <c r="D9" s="3"/>
      <c r="E9" s="3"/>
    </row>
    <row r="10" customFormat="false" ht="30" hidden="false" customHeight="true" outlineLevel="0" collapsed="false">
      <c r="A10" s="6" t="s">
        <v>6</v>
      </c>
      <c r="B10" s="6" t="s">
        <v>7</v>
      </c>
      <c r="C10" s="6" t="s">
        <v>8</v>
      </c>
      <c r="D10" s="6" t="s">
        <v>9</v>
      </c>
      <c r="E10" s="6" t="s">
        <v>10</v>
      </c>
    </row>
    <row r="11" customFormat="false" ht="57.75" hidden="false" customHeight="true" outlineLevel="0" collapsed="false">
      <c r="A11" s="7" t="s">
        <v>11</v>
      </c>
      <c r="B11" s="8" t="s">
        <v>12</v>
      </c>
      <c r="C11" s="8" t="s">
        <v>13</v>
      </c>
      <c r="D11" s="9" t="s">
        <v>14</v>
      </c>
      <c r="E11" s="8" t="s">
        <v>15</v>
      </c>
    </row>
    <row r="12" customFormat="false" ht="57.75" hidden="false" customHeight="true" outlineLevel="0" collapsed="false">
      <c r="A12" s="7" t="s">
        <v>16</v>
      </c>
      <c r="B12" s="8" t="s">
        <v>17</v>
      </c>
      <c r="C12" s="8" t="s">
        <v>18</v>
      </c>
      <c r="D12" s="9" t="s">
        <v>14</v>
      </c>
      <c r="E12" s="8" t="s">
        <v>19</v>
      </c>
    </row>
    <row r="13" customFormat="false" ht="57.75" hidden="false" customHeight="true" outlineLevel="0" collapsed="false">
      <c r="A13" s="7" t="s">
        <v>20</v>
      </c>
      <c r="B13" s="8" t="s">
        <v>21</v>
      </c>
      <c r="C13" s="8" t="s">
        <v>22</v>
      </c>
      <c r="D13" s="10" t="s">
        <v>23</v>
      </c>
      <c r="E13" s="8" t="s">
        <v>24</v>
      </c>
    </row>
    <row r="14" customFormat="false" ht="57.75" hidden="false" customHeight="true" outlineLevel="0" collapsed="false">
      <c r="A14" s="7" t="s">
        <v>25</v>
      </c>
      <c r="B14" s="8" t="s">
        <v>26</v>
      </c>
      <c r="C14" s="8" t="s">
        <v>27</v>
      </c>
      <c r="D14" s="9" t="s">
        <v>14</v>
      </c>
      <c r="E14" s="8" t="s">
        <v>28</v>
      </c>
    </row>
    <row r="15" customFormat="false" ht="57.75" hidden="false" customHeight="true" outlineLevel="0" collapsed="false">
      <c r="A15" s="7" t="s">
        <v>29</v>
      </c>
      <c r="B15" s="8" t="s">
        <v>30</v>
      </c>
      <c r="C15" s="8" t="s">
        <v>31</v>
      </c>
      <c r="D15" s="11" t="s">
        <v>32</v>
      </c>
      <c r="E15" s="8" t="s">
        <v>33</v>
      </c>
    </row>
    <row r="16" customFormat="false" ht="57.75" hidden="false" customHeight="true" outlineLevel="0" collapsed="false">
      <c r="A16" s="7" t="s">
        <v>34</v>
      </c>
      <c r="B16" s="8" t="s">
        <v>35</v>
      </c>
      <c r="C16" s="8" t="s">
        <v>36</v>
      </c>
      <c r="D16" s="11" t="s">
        <v>32</v>
      </c>
      <c r="E16" s="8" t="s">
        <v>37</v>
      </c>
    </row>
    <row r="17" customFormat="false" ht="57.75" hidden="false" customHeight="true" outlineLevel="0" collapsed="false">
      <c r="A17" s="7" t="s">
        <v>38</v>
      </c>
      <c r="B17" s="8" t="s">
        <v>39</v>
      </c>
      <c r="C17" s="8" t="s">
        <v>40</v>
      </c>
      <c r="D17" s="11" t="s">
        <v>32</v>
      </c>
      <c r="E17" s="8" t="s">
        <v>41</v>
      </c>
    </row>
    <row r="18" customFormat="false" ht="57.75" hidden="false" customHeight="true" outlineLevel="0" collapsed="false">
      <c r="A18" s="7" t="s">
        <v>42</v>
      </c>
      <c r="B18" s="8" t="s">
        <v>43</v>
      </c>
      <c r="C18" s="8" t="s">
        <v>44</v>
      </c>
      <c r="D18" s="11" t="s">
        <v>32</v>
      </c>
      <c r="E18" s="8" t="s">
        <v>45</v>
      </c>
    </row>
    <row r="19" customFormat="false" ht="57.75" hidden="false" customHeight="true" outlineLevel="0" collapsed="false">
      <c r="A19" s="7" t="s">
        <v>46</v>
      </c>
      <c r="B19" s="8" t="s">
        <v>47</v>
      </c>
      <c r="C19" s="8" t="s">
        <v>48</v>
      </c>
      <c r="D19" s="11" t="s">
        <v>32</v>
      </c>
      <c r="E19" s="8" t="s">
        <v>49</v>
      </c>
    </row>
    <row r="20" customFormat="false" ht="57.75" hidden="false" customHeight="true" outlineLevel="0" collapsed="false">
      <c r="A20" s="7" t="s">
        <v>50</v>
      </c>
      <c r="B20" s="8" t="s">
        <v>51</v>
      </c>
      <c r="C20" s="8" t="s">
        <v>52</v>
      </c>
      <c r="D20" s="9" t="s">
        <v>14</v>
      </c>
      <c r="E20" s="8" t="s">
        <v>53</v>
      </c>
    </row>
    <row r="22" customFormat="false" ht="33.75" hidden="false" customHeight="true" outlineLevel="0" collapsed="false">
      <c r="A22" s="2" t="s">
        <v>54</v>
      </c>
      <c r="B22" s="2"/>
      <c r="C22" s="2"/>
      <c r="D22" s="2"/>
      <c r="E22" s="2"/>
    </row>
  </sheetData>
  <mergeCells count="7">
    <mergeCell ref="A1:E1"/>
    <mergeCell ref="A2:E2"/>
    <mergeCell ref="A4:E4"/>
    <mergeCell ref="A5:A7"/>
    <mergeCell ref="B5:E7"/>
    <mergeCell ref="A9:E9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55</v>
      </c>
      <c r="B1" s="1"/>
      <c r="C1" s="1"/>
      <c r="D1" s="1"/>
    </row>
    <row r="3" customFormat="false" ht="19.5" hidden="false" customHeight="true" outlineLevel="0" collapsed="false">
      <c r="A3" s="3" t="s">
        <v>56</v>
      </c>
      <c r="B3" s="3"/>
      <c r="C3" s="3"/>
      <c r="D3" s="3"/>
    </row>
    <row r="4" customFormat="false" ht="30" hidden="false" customHeight="true" outlineLevel="0" collapsed="false">
      <c r="A4" s="6" t="s">
        <v>57</v>
      </c>
      <c r="B4" s="6" t="s">
        <v>58</v>
      </c>
      <c r="C4" s="6"/>
      <c r="D4" s="6"/>
    </row>
    <row r="5" customFormat="false" ht="30" hidden="false" customHeight="true" outlineLevel="0" collapsed="false">
      <c r="A5" s="12" t="s">
        <v>59</v>
      </c>
      <c r="B5" s="13" t="s">
        <v>60</v>
      </c>
      <c r="C5" s="13"/>
      <c r="D5" s="13"/>
    </row>
    <row r="6" customFormat="false" ht="30" hidden="false" customHeight="true" outlineLevel="0" collapsed="false">
      <c r="A6" s="12" t="s">
        <v>61</v>
      </c>
      <c r="B6" s="13" t="s">
        <v>62</v>
      </c>
      <c r="C6" s="13"/>
      <c r="D6" s="13"/>
    </row>
    <row r="7" customFormat="false" ht="30" hidden="false" customHeight="true" outlineLevel="0" collapsed="false">
      <c r="A7" s="12" t="s">
        <v>63</v>
      </c>
      <c r="B7" s="13" t="s">
        <v>64</v>
      </c>
      <c r="C7" s="13"/>
      <c r="D7" s="13"/>
    </row>
    <row r="8" customFormat="false" ht="30" hidden="false" customHeight="true" outlineLevel="0" collapsed="false">
      <c r="A8" s="12" t="s">
        <v>65</v>
      </c>
      <c r="B8" s="13" t="s">
        <v>66</v>
      </c>
      <c r="C8" s="13"/>
      <c r="D8" s="13"/>
    </row>
    <row r="9" customFormat="false" ht="30" hidden="false" customHeight="true" outlineLevel="0" collapsed="false">
      <c r="A9" s="12" t="s">
        <v>67</v>
      </c>
      <c r="B9" s="13" t="s">
        <v>68</v>
      </c>
      <c r="C9" s="13"/>
      <c r="D9" s="13"/>
    </row>
    <row r="10" customFormat="false" ht="30" hidden="false" customHeight="true" outlineLevel="0" collapsed="false">
      <c r="A10" s="12" t="s">
        <v>69</v>
      </c>
      <c r="B10" s="13" t="s">
        <v>70</v>
      </c>
      <c r="C10" s="13"/>
      <c r="D10" s="13"/>
    </row>
    <row r="12" customFormat="false" ht="19.5" hidden="false" customHeight="true" outlineLevel="0" collapsed="false">
      <c r="A12" s="3" t="s">
        <v>71</v>
      </c>
      <c r="B12" s="3"/>
      <c r="C12" s="3"/>
      <c r="D12" s="3"/>
    </row>
    <row r="13" customFormat="false" ht="30" hidden="false" customHeight="true" outlineLevel="0" collapsed="false">
      <c r="A13" s="6" t="s">
        <v>72</v>
      </c>
      <c r="B13" s="6" t="s">
        <v>73</v>
      </c>
      <c r="C13" s="6" t="s">
        <v>9</v>
      </c>
      <c r="D13" s="6" t="s">
        <v>74</v>
      </c>
    </row>
    <row r="14" customFormat="false" ht="33.75" hidden="false" customHeight="true" outlineLevel="0" collapsed="false">
      <c r="A14" s="8" t="s">
        <v>75</v>
      </c>
      <c r="B14" s="8" t="s">
        <v>76</v>
      </c>
      <c r="C14" s="10" t="s">
        <v>77</v>
      </c>
      <c r="D14" s="8" t="s">
        <v>78</v>
      </c>
    </row>
    <row r="15" customFormat="false" ht="33.75" hidden="false" customHeight="true" outlineLevel="0" collapsed="false">
      <c r="A15" s="8" t="s">
        <v>79</v>
      </c>
      <c r="B15" s="8" t="s">
        <v>80</v>
      </c>
      <c r="C15" s="10" t="s">
        <v>77</v>
      </c>
      <c r="D15" s="8" t="s">
        <v>81</v>
      </c>
    </row>
    <row r="16" customFormat="false" ht="33.75" hidden="false" customHeight="true" outlineLevel="0" collapsed="false">
      <c r="A16" s="8" t="s">
        <v>82</v>
      </c>
      <c r="B16" s="8" t="s">
        <v>83</v>
      </c>
      <c r="C16" s="10" t="s">
        <v>77</v>
      </c>
      <c r="D16" s="8" t="s">
        <v>84</v>
      </c>
    </row>
    <row r="17" customFormat="false" ht="33.75" hidden="false" customHeight="true" outlineLevel="0" collapsed="false">
      <c r="A17" s="8" t="s">
        <v>85</v>
      </c>
      <c r="B17" s="8" t="s">
        <v>86</v>
      </c>
      <c r="C17" s="9" t="s">
        <v>87</v>
      </c>
      <c r="D17" s="8" t="s">
        <v>88</v>
      </c>
    </row>
    <row r="18" customFormat="false" ht="33.75" hidden="false" customHeight="true" outlineLevel="0" collapsed="false">
      <c r="A18" s="8" t="s">
        <v>89</v>
      </c>
      <c r="B18" s="8" t="s">
        <v>90</v>
      </c>
      <c r="C18" s="11" t="s">
        <v>91</v>
      </c>
      <c r="D18" s="8" t="s">
        <v>92</v>
      </c>
    </row>
    <row r="19" customFormat="false" ht="33.75" hidden="false" customHeight="true" outlineLevel="0" collapsed="false">
      <c r="A19" s="8" t="s">
        <v>93</v>
      </c>
      <c r="B19" s="8" t="s">
        <v>94</v>
      </c>
      <c r="C19" s="11" t="s">
        <v>91</v>
      </c>
      <c r="D19" s="8" t="s">
        <v>95</v>
      </c>
    </row>
    <row r="20" customFormat="false" ht="33.75" hidden="false" customHeight="true" outlineLevel="0" collapsed="false">
      <c r="A20" s="8" t="s">
        <v>96</v>
      </c>
      <c r="B20" s="8" t="s">
        <v>97</v>
      </c>
      <c r="C20" s="9" t="s">
        <v>87</v>
      </c>
      <c r="D20" s="8" t="s">
        <v>98</v>
      </c>
    </row>
    <row r="21" customFormat="false" ht="33.75" hidden="false" customHeight="true" outlineLevel="0" collapsed="false">
      <c r="A21" s="8" t="s">
        <v>99</v>
      </c>
      <c r="B21" s="8" t="s">
        <v>100</v>
      </c>
      <c r="C21" s="9" t="s">
        <v>87</v>
      </c>
      <c r="D21" s="8" t="s">
        <v>101</v>
      </c>
    </row>
    <row r="22" customFormat="false" ht="33.75" hidden="false" customHeight="true" outlineLevel="0" collapsed="false">
      <c r="A22" s="8" t="s">
        <v>102</v>
      </c>
      <c r="B22" s="8" t="s">
        <v>103</v>
      </c>
      <c r="C22" s="10" t="s">
        <v>77</v>
      </c>
      <c r="D22" s="8" t="s">
        <v>104</v>
      </c>
    </row>
    <row r="23" customFormat="false" ht="33.75" hidden="false" customHeight="true" outlineLevel="0" collapsed="false">
      <c r="A23" s="8" t="s">
        <v>105</v>
      </c>
      <c r="B23" s="8" t="s">
        <v>106</v>
      </c>
      <c r="C23" s="10" t="s">
        <v>77</v>
      </c>
      <c r="D23" s="8" t="s">
        <v>107</v>
      </c>
    </row>
    <row r="24" customFormat="false" ht="33.75" hidden="false" customHeight="true" outlineLevel="0" collapsed="false">
      <c r="A24" s="8" t="s">
        <v>108</v>
      </c>
      <c r="B24" s="8" t="s">
        <v>109</v>
      </c>
      <c r="C24" s="10" t="s">
        <v>77</v>
      </c>
      <c r="D24" s="8" t="s">
        <v>110</v>
      </c>
    </row>
    <row r="25" customFormat="false" ht="33.75" hidden="false" customHeight="true" outlineLevel="0" collapsed="false">
      <c r="A25" s="8" t="s">
        <v>111</v>
      </c>
      <c r="B25" s="8" t="s">
        <v>112</v>
      </c>
      <c r="C25" s="10" t="s">
        <v>77</v>
      </c>
      <c r="D25" s="8" t="s">
        <v>113</v>
      </c>
    </row>
    <row r="26" customFormat="false" ht="33.75" hidden="false" customHeight="true" outlineLevel="0" collapsed="false">
      <c r="A26" s="8" t="s">
        <v>114</v>
      </c>
      <c r="B26" s="8" t="s">
        <v>115</v>
      </c>
      <c r="C26" s="10" t="s">
        <v>77</v>
      </c>
      <c r="D26" s="8" t="s">
        <v>116</v>
      </c>
    </row>
    <row r="27" customFormat="false" ht="33.75" hidden="false" customHeight="true" outlineLevel="0" collapsed="false">
      <c r="A27" s="8" t="s">
        <v>117</v>
      </c>
      <c r="B27" s="8" t="s">
        <v>118</v>
      </c>
      <c r="C27" s="11" t="s">
        <v>91</v>
      </c>
      <c r="D27" s="8" t="s">
        <v>119</v>
      </c>
    </row>
    <row r="28" customFormat="false" ht="33.75" hidden="false" customHeight="true" outlineLevel="0" collapsed="false">
      <c r="A28" s="8" t="s">
        <v>120</v>
      </c>
      <c r="B28" s="8" t="s">
        <v>121</v>
      </c>
      <c r="C28" s="10" t="s">
        <v>77</v>
      </c>
      <c r="D28" s="8" t="s">
        <v>122</v>
      </c>
    </row>
  </sheetData>
  <mergeCells count="10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123</v>
      </c>
      <c r="B1" s="1"/>
      <c r="C1" s="1"/>
      <c r="D1" s="1"/>
      <c r="E1" s="1"/>
    </row>
    <row r="3" customFormat="false" ht="19.5" hidden="false" customHeight="true" outlineLevel="0" collapsed="false">
      <c r="A3" s="3" t="s">
        <v>124</v>
      </c>
      <c r="B3" s="3"/>
      <c r="C3" s="3"/>
      <c r="D3" s="3"/>
      <c r="E3" s="3"/>
    </row>
    <row r="4" customFormat="false" ht="30" hidden="false" customHeight="true" outlineLevel="0" collapsed="false">
      <c r="A4" s="6" t="s">
        <v>57</v>
      </c>
      <c r="B4" s="6" t="s">
        <v>58</v>
      </c>
      <c r="C4" s="6" t="s">
        <v>125</v>
      </c>
      <c r="D4" s="6" t="s">
        <v>126</v>
      </c>
      <c r="E4" s="6" t="s">
        <v>127</v>
      </c>
    </row>
    <row r="5" customFormat="false" ht="25.5" hidden="false" customHeight="true" outlineLevel="0" collapsed="false">
      <c r="A5" s="8" t="s">
        <v>128</v>
      </c>
      <c r="B5" s="14" t="n">
        <v>2.5</v>
      </c>
      <c r="C5" s="15" t="s">
        <v>129</v>
      </c>
      <c r="D5" s="8" t="s">
        <v>130</v>
      </c>
      <c r="E5" s="8" t="s">
        <v>131</v>
      </c>
    </row>
    <row r="6" customFormat="false" ht="25.5" hidden="false" customHeight="true" outlineLevel="0" collapsed="false">
      <c r="A6" s="8" t="s">
        <v>132</v>
      </c>
      <c r="B6" s="14" t="n">
        <v>7</v>
      </c>
      <c r="C6" s="15" t="s">
        <v>133</v>
      </c>
      <c r="D6" s="8" t="s">
        <v>134</v>
      </c>
      <c r="E6" s="8" t="s">
        <v>135</v>
      </c>
    </row>
    <row r="7" customFormat="false" ht="25.5" hidden="false" customHeight="true" outlineLevel="0" collapsed="false">
      <c r="A7" s="8" t="s">
        <v>136</v>
      </c>
      <c r="B7" s="14" t="n">
        <v>0.02</v>
      </c>
      <c r="C7" s="15" t="s">
        <v>129</v>
      </c>
      <c r="D7" s="8" t="s">
        <v>137</v>
      </c>
      <c r="E7" s="8" t="s">
        <v>138</v>
      </c>
    </row>
    <row r="8" customFormat="false" ht="25.5" hidden="false" customHeight="true" outlineLevel="0" collapsed="false">
      <c r="A8" s="8" t="s">
        <v>139</v>
      </c>
      <c r="B8" s="14" t="n">
        <v>133</v>
      </c>
      <c r="C8" s="15" t="s">
        <v>133</v>
      </c>
      <c r="D8" s="8" t="s">
        <v>140</v>
      </c>
      <c r="E8" s="8" t="s">
        <v>141</v>
      </c>
    </row>
    <row r="9" customFormat="false" ht="25.5" hidden="false" customHeight="true" outlineLevel="0" collapsed="false">
      <c r="A9" s="8" t="s">
        <v>142</v>
      </c>
      <c r="B9" s="14" t="n">
        <v>0.12</v>
      </c>
      <c r="C9" s="15" t="s">
        <v>129</v>
      </c>
      <c r="D9" s="8" t="s">
        <v>143</v>
      </c>
      <c r="E9" s="8" t="s">
        <v>144</v>
      </c>
    </row>
    <row r="11" customFormat="false" ht="19.5" hidden="false" customHeight="true" outlineLevel="0" collapsed="false">
      <c r="A11" s="3" t="s">
        <v>145</v>
      </c>
      <c r="B11" s="3"/>
      <c r="C11" s="3"/>
      <c r="D11" s="3"/>
      <c r="E11" s="3"/>
    </row>
    <row r="12" customFormat="false" ht="30" hidden="false" customHeight="true" outlineLevel="0" collapsed="false">
      <c r="A12" s="6" t="s">
        <v>146</v>
      </c>
      <c r="B12" s="6" t="s">
        <v>147</v>
      </c>
      <c r="C12" s="6" t="s">
        <v>148</v>
      </c>
      <c r="D12" s="6" t="s">
        <v>149</v>
      </c>
      <c r="E12" s="6" t="s">
        <v>150</v>
      </c>
    </row>
    <row r="13" customFormat="false" ht="27.75" hidden="false" customHeight="true" outlineLevel="0" collapsed="false">
      <c r="A13" s="8" t="s">
        <v>151</v>
      </c>
      <c r="B13" s="14" t="n">
        <v>15.24</v>
      </c>
      <c r="C13" s="16" t="n">
        <f aca="false">133*B9*1</f>
        <v>15.96</v>
      </c>
      <c r="D13" s="15" t="n">
        <v>1</v>
      </c>
      <c r="E13" s="8" t="s">
        <v>152</v>
      </c>
    </row>
    <row r="14" customFormat="false" ht="27.75" hidden="false" customHeight="true" outlineLevel="0" collapsed="false">
      <c r="A14" s="8" t="s">
        <v>153</v>
      </c>
      <c r="B14" s="14" t="n">
        <v>30.48</v>
      </c>
      <c r="C14" s="16" t="n">
        <f aca="false">133*B9*2</f>
        <v>31.92</v>
      </c>
      <c r="D14" s="15" t="n">
        <v>2</v>
      </c>
      <c r="E14" s="8" t="s">
        <v>154</v>
      </c>
    </row>
    <row r="15" customFormat="false" ht="27.75" hidden="false" customHeight="true" outlineLevel="0" collapsed="false">
      <c r="A15" s="8" t="s">
        <v>155</v>
      </c>
      <c r="B15" s="14" t="n">
        <v>15.24</v>
      </c>
      <c r="C15" s="16" t="n">
        <f aca="false">133*B9*1</f>
        <v>15.96</v>
      </c>
      <c r="D15" s="15" t="n">
        <v>1</v>
      </c>
      <c r="E15" s="8" t="s">
        <v>156</v>
      </c>
    </row>
    <row r="16" customFormat="false" ht="27.75" hidden="false" customHeight="true" outlineLevel="0" collapsed="false">
      <c r="A16" s="8" t="s">
        <v>157</v>
      </c>
      <c r="B16" s="14" t="n">
        <v>15.24</v>
      </c>
      <c r="C16" s="16" t="n">
        <f aca="false">133*B9*1</f>
        <v>15.96</v>
      </c>
      <c r="D16" s="15" t="n">
        <v>1</v>
      </c>
      <c r="E16" s="8" t="s">
        <v>158</v>
      </c>
    </row>
    <row r="17" customFormat="false" ht="27.75" hidden="false" customHeight="true" outlineLevel="0" collapsed="false">
      <c r="A17" s="8" t="s">
        <v>159</v>
      </c>
      <c r="B17" s="14" t="n">
        <v>15.24</v>
      </c>
      <c r="C17" s="16" t="n">
        <f aca="false">133*B9*1</f>
        <v>15.96</v>
      </c>
      <c r="D17" s="15" t="n">
        <v>1</v>
      </c>
      <c r="E17" s="8" t="s">
        <v>156</v>
      </c>
    </row>
    <row r="18" customFormat="false" ht="27.75" hidden="false" customHeight="true" outlineLevel="0" collapsed="false">
      <c r="A18" s="8" t="s">
        <v>160</v>
      </c>
      <c r="B18" s="14" t="n">
        <v>45.72</v>
      </c>
      <c r="C18" s="16" t="n">
        <f aca="false">133*B9*3</f>
        <v>47.88</v>
      </c>
      <c r="D18" s="15" t="n">
        <v>3</v>
      </c>
      <c r="E18" s="8" t="s">
        <v>161</v>
      </c>
    </row>
    <row r="19" customFormat="false" ht="27.75" hidden="false" customHeight="true" outlineLevel="0" collapsed="false">
      <c r="A19" s="8" t="s">
        <v>162</v>
      </c>
      <c r="B19" s="14" t="n">
        <v>60.96</v>
      </c>
      <c r="C19" s="16" t="n">
        <f aca="false">133*B9*4</f>
        <v>63.84</v>
      </c>
      <c r="D19" s="15" t="n">
        <v>4</v>
      </c>
      <c r="E19" s="8" t="s">
        <v>163</v>
      </c>
    </row>
    <row r="20" customFormat="false" ht="27.75" hidden="false" customHeight="true" outlineLevel="0" collapsed="false">
      <c r="A20" s="8" t="s">
        <v>164</v>
      </c>
      <c r="B20" s="14" t="n">
        <v>1.92</v>
      </c>
      <c r="C20" s="16" t="s">
        <v>100</v>
      </c>
      <c r="D20" s="15" t="n">
        <v>0</v>
      </c>
      <c r="E20" s="8" t="s">
        <v>165</v>
      </c>
    </row>
    <row r="21" customFormat="false" ht="15" hidden="false" customHeight="false" outlineLevel="0" collapsed="false">
      <c r="A21" s="17" t="s">
        <v>166</v>
      </c>
      <c r="B21" s="17" t="n">
        <f aca="false">SUM(B13:B20)</f>
        <v>200.04</v>
      </c>
      <c r="C21" s="17" t="n">
        <f aca="false">SUM(C13:C19)</f>
        <v>207.48</v>
      </c>
      <c r="D21" s="18"/>
      <c r="E21" s="18" t="s">
        <v>167</v>
      </c>
    </row>
    <row r="22" customFormat="false" ht="23.85" hidden="false" customHeight="false" outlineLevel="0" collapsed="false">
      <c r="A22" s="12" t="s">
        <v>168</v>
      </c>
      <c r="B22" s="12" t="n">
        <f aca="false">B6*B5</f>
        <v>17.5</v>
      </c>
      <c r="C22" s="8" t="s">
        <v>169</v>
      </c>
      <c r="D22" s="8"/>
      <c r="E22" s="8" t="s">
        <v>170</v>
      </c>
    </row>
    <row r="23" customFormat="false" ht="23.85" hidden="false" customHeight="false" outlineLevel="0" collapsed="false">
      <c r="A23" s="19" t="s">
        <v>171</v>
      </c>
      <c r="B23" s="20" t="n">
        <f aca="false">B21/B22</f>
        <v>11.4308571428571</v>
      </c>
      <c r="C23" s="21" t="s">
        <v>172</v>
      </c>
      <c r="D23" s="21"/>
      <c r="E23" s="21" t="s">
        <v>173</v>
      </c>
    </row>
    <row r="24" customFormat="false" ht="23.85" hidden="false" customHeight="false" outlineLevel="0" collapsed="false">
      <c r="A24" s="19" t="s">
        <v>174</v>
      </c>
      <c r="B24" s="20" t="n">
        <f aca="false">B9/B7</f>
        <v>6</v>
      </c>
      <c r="C24" s="21" t="s">
        <v>172</v>
      </c>
      <c r="D24" s="21"/>
      <c r="E24" s="21" t="s">
        <v>175</v>
      </c>
    </row>
    <row r="26" customFormat="false" ht="19.5" hidden="false" customHeight="true" outlineLevel="0" collapsed="false">
      <c r="A26" s="3" t="s">
        <v>176</v>
      </c>
      <c r="B26" s="3"/>
      <c r="C26" s="3"/>
      <c r="D26" s="3"/>
      <c r="E26" s="3"/>
    </row>
    <row r="27" customFormat="false" ht="30" hidden="false" customHeight="true" outlineLevel="0" collapsed="false">
      <c r="A27" s="6" t="s">
        <v>177</v>
      </c>
      <c r="B27" s="6" t="s">
        <v>58</v>
      </c>
      <c r="C27" s="6" t="s">
        <v>125</v>
      </c>
      <c r="D27" s="6" t="s">
        <v>126</v>
      </c>
      <c r="E27" s="6" t="s">
        <v>127</v>
      </c>
    </row>
    <row r="28" customFormat="false" ht="24" hidden="false" customHeight="true" outlineLevel="0" collapsed="false">
      <c r="A28" s="8" t="s">
        <v>178</v>
      </c>
      <c r="B28" s="16" t="n">
        <v>16.26</v>
      </c>
      <c r="C28" s="15" t="s">
        <v>179</v>
      </c>
      <c r="D28" s="8" t="s">
        <v>180</v>
      </c>
      <c r="E28" s="8" t="s">
        <v>181</v>
      </c>
    </row>
    <row r="29" customFormat="false" ht="24" hidden="false" customHeight="true" outlineLevel="0" collapsed="false">
      <c r="A29" s="8" t="s">
        <v>182</v>
      </c>
      <c r="B29" s="16" t="n">
        <v>7.7</v>
      </c>
      <c r="C29" s="15" t="s">
        <v>179</v>
      </c>
      <c r="D29" s="8" t="s">
        <v>183</v>
      </c>
      <c r="E29" s="8" t="s">
        <v>184</v>
      </c>
    </row>
    <row r="30" customFormat="false" ht="24" hidden="false" customHeight="true" outlineLevel="0" collapsed="false">
      <c r="A30" s="8" t="s">
        <v>185</v>
      </c>
      <c r="B30" s="16" t="n">
        <v>17.1</v>
      </c>
      <c r="C30" s="15" t="s">
        <v>179</v>
      </c>
      <c r="D30" s="8" t="s">
        <v>186</v>
      </c>
      <c r="E30" s="8" t="s">
        <v>187</v>
      </c>
    </row>
    <row r="31" customFormat="false" ht="24" hidden="false" customHeight="true" outlineLevel="0" collapsed="false">
      <c r="A31" s="8" t="s">
        <v>188</v>
      </c>
      <c r="B31" s="16" t="s">
        <v>189</v>
      </c>
      <c r="C31" s="15" t="s">
        <v>179</v>
      </c>
      <c r="D31" s="8" t="s">
        <v>190</v>
      </c>
      <c r="E31" s="8" t="s">
        <v>191</v>
      </c>
    </row>
    <row r="32" customFormat="false" ht="24" hidden="false" customHeight="true" outlineLevel="0" collapsed="false">
      <c r="A32" s="8" t="s">
        <v>192</v>
      </c>
      <c r="B32" s="16" t="n">
        <v>69.44</v>
      </c>
      <c r="C32" s="15" t="s">
        <v>179</v>
      </c>
      <c r="D32" s="8" t="s">
        <v>193</v>
      </c>
      <c r="E32" s="8" t="s">
        <v>194</v>
      </c>
    </row>
    <row r="34" customFormat="false" ht="78" hidden="false" customHeight="true" outlineLevel="0" collapsed="false">
      <c r="A34" s="2" t="s">
        <v>195</v>
      </c>
      <c r="B34" s="2"/>
      <c r="C34" s="2"/>
      <c r="D34" s="2"/>
      <c r="E34" s="2"/>
    </row>
  </sheetData>
  <mergeCells count="5">
    <mergeCell ref="A1:E1"/>
    <mergeCell ref="A3:E3"/>
    <mergeCell ref="A11:E11"/>
    <mergeCell ref="A26:E26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12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196</v>
      </c>
      <c r="B1" s="1"/>
      <c r="C1" s="1"/>
      <c r="D1" s="1"/>
      <c r="E1" s="1"/>
    </row>
    <row r="3" customFormat="false" ht="30" hidden="false" customHeight="true" outlineLevel="0" collapsed="false">
      <c r="A3" s="6" t="s">
        <v>197</v>
      </c>
      <c r="B3" s="6" t="s">
        <v>198</v>
      </c>
      <c r="C3" s="6" t="s">
        <v>199</v>
      </c>
      <c r="D3" s="6" t="s">
        <v>9</v>
      </c>
      <c r="E3" s="6" t="s">
        <v>200</v>
      </c>
    </row>
    <row r="4" customFormat="false" ht="39.75" hidden="false" customHeight="true" outlineLevel="0" collapsed="false">
      <c r="A4" s="8" t="s">
        <v>201</v>
      </c>
      <c r="B4" s="8" t="s">
        <v>202</v>
      </c>
      <c r="C4" s="8" t="s">
        <v>203</v>
      </c>
      <c r="D4" s="11" t="s">
        <v>32</v>
      </c>
      <c r="E4" s="8" t="s">
        <v>204</v>
      </c>
    </row>
    <row r="5" customFormat="false" ht="39.75" hidden="false" customHeight="true" outlineLevel="0" collapsed="false">
      <c r="A5" s="8" t="s">
        <v>205</v>
      </c>
      <c r="B5" s="8" t="s">
        <v>206</v>
      </c>
      <c r="C5" s="8" t="s">
        <v>207</v>
      </c>
      <c r="D5" s="10" t="s">
        <v>77</v>
      </c>
      <c r="E5" s="8" t="s">
        <v>208</v>
      </c>
    </row>
    <row r="6" customFormat="false" ht="39.75" hidden="false" customHeight="true" outlineLevel="0" collapsed="false">
      <c r="A6" s="8" t="s">
        <v>209</v>
      </c>
      <c r="B6" s="8" t="s">
        <v>210</v>
      </c>
      <c r="C6" s="8" t="s">
        <v>211</v>
      </c>
      <c r="D6" s="10" t="s">
        <v>77</v>
      </c>
      <c r="E6" s="8" t="s">
        <v>212</v>
      </c>
    </row>
    <row r="7" customFormat="false" ht="39.75" hidden="false" customHeight="true" outlineLevel="0" collapsed="false">
      <c r="A7" s="8" t="s">
        <v>213</v>
      </c>
      <c r="B7" s="8" t="s">
        <v>214</v>
      </c>
      <c r="C7" s="8" t="s">
        <v>215</v>
      </c>
      <c r="D7" s="10" t="s">
        <v>23</v>
      </c>
      <c r="E7" s="8" t="s">
        <v>216</v>
      </c>
    </row>
    <row r="8" customFormat="false" ht="39.75" hidden="false" customHeight="true" outlineLevel="0" collapsed="false">
      <c r="A8" s="8" t="s">
        <v>217</v>
      </c>
      <c r="B8" s="8" t="s">
        <v>218</v>
      </c>
      <c r="C8" s="8" t="s">
        <v>219</v>
      </c>
      <c r="D8" s="11" t="s">
        <v>32</v>
      </c>
      <c r="E8" s="8" t="s">
        <v>220</v>
      </c>
    </row>
    <row r="9" customFormat="false" ht="39.75" hidden="false" customHeight="true" outlineLevel="0" collapsed="false">
      <c r="A9" s="8" t="s">
        <v>221</v>
      </c>
      <c r="B9" s="8" t="s">
        <v>222</v>
      </c>
      <c r="C9" s="8" t="s">
        <v>223</v>
      </c>
      <c r="D9" s="9" t="s">
        <v>14</v>
      </c>
      <c r="E9" s="8" t="s">
        <v>224</v>
      </c>
    </row>
    <row r="10" customFormat="false" ht="39.75" hidden="false" customHeight="true" outlineLevel="0" collapsed="false">
      <c r="A10" s="8" t="s">
        <v>225</v>
      </c>
      <c r="B10" s="8" t="s">
        <v>226</v>
      </c>
      <c r="C10" s="8" t="s">
        <v>227</v>
      </c>
      <c r="D10" s="11" t="s">
        <v>32</v>
      </c>
      <c r="E10" s="8" t="s">
        <v>228</v>
      </c>
    </row>
    <row r="11" customFormat="false" ht="39.75" hidden="false" customHeight="true" outlineLevel="0" collapsed="false">
      <c r="A11" s="8" t="s">
        <v>229</v>
      </c>
      <c r="B11" s="8" t="s">
        <v>230</v>
      </c>
      <c r="C11" s="8" t="s">
        <v>231</v>
      </c>
      <c r="D11" s="11" t="s">
        <v>32</v>
      </c>
      <c r="E11" s="8" t="s">
        <v>232</v>
      </c>
    </row>
    <row r="12" customFormat="false" ht="39.75" hidden="false" customHeight="true" outlineLevel="0" collapsed="false">
      <c r="A12" s="8" t="s">
        <v>233</v>
      </c>
      <c r="B12" s="8" t="s">
        <v>234</v>
      </c>
      <c r="C12" s="8" t="s">
        <v>100</v>
      </c>
      <c r="D12" s="11" t="s">
        <v>32</v>
      </c>
      <c r="E12" s="8" t="s">
        <v>235</v>
      </c>
    </row>
    <row r="13" customFormat="false" ht="39.75" hidden="false" customHeight="true" outlineLevel="0" collapsed="false">
      <c r="A13" s="8" t="s">
        <v>236</v>
      </c>
      <c r="B13" s="8" t="s">
        <v>237</v>
      </c>
      <c r="C13" s="8" t="s">
        <v>238</v>
      </c>
      <c r="D13" s="11" t="s">
        <v>32</v>
      </c>
      <c r="E13" s="8" t="s">
        <v>239</v>
      </c>
    </row>
    <row r="14" customFormat="false" ht="39.75" hidden="false" customHeight="true" outlineLevel="0" collapsed="false">
      <c r="A14" s="8" t="s">
        <v>240</v>
      </c>
      <c r="B14" s="8" t="s">
        <v>241</v>
      </c>
      <c r="C14" s="8" t="s">
        <v>242</v>
      </c>
      <c r="D14" s="10" t="s">
        <v>77</v>
      </c>
      <c r="E14" s="8" t="s">
        <v>243</v>
      </c>
    </row>
    <row r="15" customFormat="false" ht="39.75" hidden="false" customHeight="true" outlineLevel="0" collapsed="false">
      <c r="A15" s="8" t="s">
        <v>244</v>
      </c>
      <c r="B15" s="8" t="s">
        <v>245</v>
      </c>
      <c r="C15" s="8" t="s">
        <v>246</v>
      </c>
      <c r="D15" s="9" t="s">
        <v>14</v>
      </c>
      <c r="E15" s="8" t="s">
        <v>247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4"/>
  </cols>
  <sheetData>
    <row r="1" customFormat="false" ht="25.5" hidden="false" customHeight="true" outlineLevel="0" collapsed="false">
      <c r="A1" s="1" t="s">
        <v>248</v>
      </c>
      <c r="B1" s="1"/>
      <c r="C1" s="1"/>
      <c r="D1" s="1"/>
    </row>
    <row r="3" customFormat="false" ht="19.5" hidden="false" customHeight="true" outlineLevel="0" collapsed="false">
      <c r="A3" s="3" t="s">
        <v>249</v>
      </c>
      <c r="B3" s="3"/>
      <c r="C3" s="3"/>
      <c r="D3" s="3"/>
    </row>
    <row r="4" customFormat="false" ht="30" hidden="false" customHeight="true" outlineLevel="0" collapsed="false">
      <c r="A4" s="6" t="s">
        <v>57</v>
      </c>
      <c r="B4" s="6" t="s">
        <v>58</v>
      </c>
      <c r="C4" s="6" t="s">
        <v>125</v>
      </c>
      <c r="D4" s="6" t="s">
        <v>126</v>
      </c>
    </row>
    <row r="5" customFormat="false" ht="15" hidden="false" customHeight="false" outlineLevel="0" collapsed="false">
      <c r="A5" s="8" t="s">
        <v>250</v>
      </c>
      <c r="B5" s="14" t="n">
        <v>380</v>
      </c>
      <c r="C5" s="15" t="s">
        <v>251</v>
      </c>
      <c r="D5" s="8" t="s">
        <v>252</v>
      </c>
    </row>
    <row r="6" customFormat="false" ht="15" hidden="false" customHeight="false" outlineLevel="0" collapsed="false">
      <c r="A6" s="8" t="s">
        <v>253</v>
      </c>
      <c r="B6" s="14" t="n">
        <v>220</v>
      </c>
      <c r="C6" s="15" t="s">
        <v>251</v>
      </c>
      <c r="D6" s="8" t="s">
        <v>252</v>
      </c>
    </row>
    <row r="7" customFormat="false" ht="15" hidden="false" customHeight="false" outlineLevel="0" collapsed="false">
      <c r="A7" s="8" t="s">
        <v>254</v>
      </c>
      <c r="B7" s="14" t="n">
        <v>0.9</v>
      </c>
      <c r="C7" s="15" t="s">
        <v>100</v>
      </c>
      <c r="D7" s="8" t="s">
        <v>252</v>
      </c>
    </row>
    <row r="8" customFormat="false" ht="15" hidden="false" customHeight="false" outlineLevel="0" collapsed="false">
      <c r="A8" s="8" t="s">
        <v>255</v>
      </c>
      <c r="B8" s="14" t="n">
        <v>1.732</v>
      </c>
      <c r="C8" s="15" t="s">
        <v>100</v>
      </c>
      <c r="D8" s="8" t="s">
        <v>256</v>
      </c>
    </row>
    <row r="9" customFormat="false" ht="15" hidden="false" customHeight="false" outlineLevel="0" collapsed="false">
      <c r="A9" s="8" t="s">
        <v>257</v>
      </c>
      <c r="B9" s="14" t="n">
        <v>63</v>
      </c>
      <c r="C9" s="15" t="s">
        <v>258</v>
      </c>
      <c r="D9" s="8" t="s">
        <v>259</v>
      </c>
    </row>
    <row r="10" customFormat="false" ht="15" hidden="false" customHeight="false" outlineLevel="0" collapsed="false">
      <c r="A10" s="8" t="s">
        <v>260</v>
      </c>
      <c r="B10" s="14" t="n">
        <v>18.3</v>
      </c>
      <c r="C10" s="15" t="s">
        <v>261</v>
      </c>
      <c r="D10" s="8" t="s">
        <v>262</v>
      </c>
    </row>
    <row r="11" customFormat="false" ht="15" hidden="false" customHeight="false" outlineLevel="0" collapsed="false">
      <c r="A11" s="8" t="s">
        <v>263</v>
      </c>
      <c r="B11" s="14" t="n">
        <v>5.31</v>
      </c>
      <c r="C11" s="15" t="s">
        <v>261</v>
      </c>
      <c r="D11" s="8" t="s">
        <v>264</v>
      </c>
    </row>
    <row r="12" customFormat="false" ht="15" hidden="false" customHeight="false" outlineLevel="0" collapsed="false">
      <c r="A12" s="8" t="s">
        <v>265</v>
      </c>
      <c r="B12" s="14" t="n">
        <v>2.24</v>
      </c>
      <c r="C12" s="15" t="s">
        <v>261</v>
      </c>
      <c r="D12" s="8" t="s">
        <v>266</v>
      </c>
    </row>
    <row r="13" customFormat="false" ht="15" hidden="false" customHeight="false" outlineLevel="0" collapsed="false">
      <c r="A13" s="8" t="s">
        <v>267</v>
      </c>
      <c r="B13" s="14" t="n">
        <v>5.2</v>
      </c>
      <c r="C13" s="15" t="s">
        <v>261</v>
      </c>
      <c r="D13" s="8" t="s">
        <v>268</v>
      </c>
    </row>
    <row r="15" customFormat="false" ht="19.5" hidden="false" customHeight="true" outlineLevel="0" collapsed="false">
      <c r="A15" s="3" t="s">
        <v>269</v>
      </c>
      <c r="B15" s="3"/>
      <c r="C15" s="3"/>
      <c r="D15" s="3"/>
    </row>
    <row r="16" customFormat="false" ht="30" hidden="false" customHeight="true" outlineLevel="0" collapsed="false">
      <c r="A16" s="6" t="s">
        <v>270</v>
      </c>
      <c r="B16" s="6" t="s">
        <v>271</v>
      </c>
      <c r="C16" s="6" t="s">
        <v>125</v>
      </c>
      <c r="D16" s="6" t="s">
        <v>150</v>
      </c>
    </row>
    <row r="17" customFormat="false" ht="15" hidden="false" customHeight="false" outlineLevel="0" collapsed="false">
      <c r="A17" s="8" t="s">
        <v>272</v>
      </c>
      <c r="B17" s="8" t="n">
        <f aca="false">B10*1000/(B8*B5*B7)</f>
        <v>30.8942101211458</v>
      </c>
      <c r="C17" s="8" t="s">
        <v>258</v>
      </c>
      <c r="D17" s="8" t="s">
        <v>273</v>
      </c>
    </row>
    <row r="18" customFormat="false" ht="15" hidden="false" customHeight="false" outlineLevel="0" collapsed="false">
      <c r="A18" s="8" t="s">
        <v>274</v>
      </c>
      <c r="B18" s="8" t="n">
        <f aca="false">B17+B11*1000/(B6*B7)</f>
        <v>57.7123919393276</v>
      </c>
      <c r="C18" s="8" t="s">
        <v>258</v>
      </c>
      <c r="D18" s="8"/>
    </row>
    <row r="19" customFormat="false" ht="15" hidden="false" customHeight="false" outlineLevel="0" collapsed="false">
      <c r="A19" s="8" t="s">
        <v>275</v>
      </c>
      <c r="B19" s="8" t="n">
        <f aca="false">B17+B12*1000/(B6*B7)</f>
        <v>42.2073414342771</v>
      </c>
      <c r="C19" s="8" t="s">
        <v>258</v>
      </c>
      <c r="D19" s="8"/>
    </row>
    <row r="20" customFormat="false" ht="15" hidden="false" customHeight="false" outlineLevel="0" collapsed="false">
      <c r="A20" s="8" t="s">
        <v>276</v>
      </c>
      <c r="B20" s="8" t="n">
        <f aca="false">B17+B13*1000/(B6*B7)</f>
        <v>57.1568363837721</v>
      </c>
      <c r="C20" s="8" t="s">
        <v>258</v>
      </c>
      <c r="D20" s="8"/>
    </row>
    <row r="21" customFormat="false" ht="15" hidden="false" customHeight="false" outlineLevel="0" collapsed="false">
      <c r="A21" s="17" t="s">
        <v>277</v>
      </c>
      <c r="B21" s="17" t="n">
        <f aca="false">MAX(B18,B19,B20)</f>
        <v>57.7123919393276</v>
      </c>
      <c r="C21" s="18" t="s">
        <v>258</v>
      </c>
      <c r="D21" s="18" t="s">
        <v>278</v>
      </c>
    </row>
    <row r="22" customFormat="false" ht="15" hidden="false" customHeight="false" outlineLevel="0" collapsed="false">
      <c r="A22" s="12" t="s">
        <v>279</v>
      </c>
      <c r="B22" s="22" t="n">
        <f aca="false">B21/B9</f>
        <v>0.916069713322661</v>
      </c>
      <c r="C22" s="8" t="s">
        <v>280</v>
      </c>
      <c r="D22" s="8" t="s">
        <v>281</v>
      </c>
    </row>
    <row r="23" customFormat="false" ht="15" hidden="false" customHeight="false" outlineLevel="0" collapsed="false">
      <c r="A23" s="19" t="s">
        <v>282</v>
      </c>
      <c r="B23" s="23" t="n">
        <f aca="false">(MAX(B18,B19,B20)-MIN(B18,B19,B20))/MAX(B18,B19,B20)</f>
        <v>0.268660680731285</v>
      </c>
      <c r="C23" s="21" t="s">
        <v>280</v>
      </c>
      <c r="D23" s="21" t="s">
        <v>283</v>
      </c>
    </row>
    <row r="24" customFormat="false" ht="15" hidden="false" customHeight="false" outlineLevel="0" collapsed="false">
      <c r="A24" s="8" t="s">
        <v>284</v>
      </c>
      <c r="B24" s="24" t="n">
        <v>95.28</v>
      </c>
      <c r="C24" s="8" t="s">
        <v>258</v>
      </c>
      <c r="D24" s="8" t="s">
        <v>285</v>
      </c>
    </row>
    <row r="26" customFormat="false" ht="19.5" hidden="false" customHeight="true" outlineLevel="0" collapsed="false">
      <c r="A26" s="3" t="s">
        <v>286</v>
      </c>
      <c r="B26" s="3"/>
      <c r="C26" s="3"/>
      <c r="D26" s="3"/>
    </row>
    <row r="27" customFormat="false" ht="30" hidden="false" customHeight="true" outlineLevel="0" collapsed="false">
      <c r="A27" s="6" t="s">
        <v>57</v>
      </c>
      <c r="B27" s="6" t="s">
        <v>58</v>
      </c>
      <c r="C27" s="6" t="s">
        <v>125</v>
      </c>
      <c r="D27" s="6" t="s">
        <v>287</v>
      </c>
    </row>
    <row r="28" customFormat="false" ht="15" hidden="false" customHeight="false" outlineLevel="0" collapsed="false">
      <c r="A28" s="8" t="s">
        <v>288</v>
      </c>
      <c r="B28" s="14" t="n">
        <v>7.3</v>
      </c>
      <c r="C28" s="15" t="s">
        <v>258</v>
      </c>
      <c r="D28" s="8" t="s">
        <v>289</v>
      </c>
    </row>
    <row r="29" customFormat="false" ht="15" hidden="false" customHeight="false" outlineLevel="0" collapsed="false">
      <c r="A29" s="8" t="s">
        <v>290</v>
      </c>
      <c r="B29" s="14" t="n">
        <v>1.76</v>
      </c>
      <c r="C29" s="15" t="s">
        <v>129</v>
      </c>
      <c r="D29" s="8" t="s">
        <v>291</v>
      </c>
    </row>
    <row r="30" customFormat="false" ht="15" hidden="false" customHeight="false" outlineLevel="0" collapsed="false">
      <c r="A30" s="8" t="s">
        <v>292</v>
      </c>
      <c r="B30" s="14" t="n">
        <v>1.25</v>
      </c>
      <c r="C30" s="15" t="s">
        <v>293</v>
      </c>
      <c r="D30" s="8" t="s">
        <v>294</v>
      </c>
    </row>
    <row r="31" customFormat="false" ht="15" hidden="false" customHeight="false" outlineLevel="0" collapsed="false">
      <c r="A31" s="8" t="s">
        <v>295</v>
      </c>
      <c r="B31" s="14" t="n">
        <v>0.09</v>
      </c>
      <c r="C31" s="15" t="s">
        <v>293</v>
      </c>
      <c r="D31" s="8" t="s">
        <v>294</v>
      </c>
    </row>
    <row r="32" customFormat="false" ht="15" hidden="false" customHeight="false" outlineLevel="0" collapsed="false">
      <c r="A32" s="8" t="s">
        <v>296</v>
      </c>
      <c r="B32" s="14" t="n">
        <v>0.436</v>
      </c>
      <c r="C32" s="15" t="s">
        <v>100</v>
      </c>
      <c r="D32" s="8" t="s">
        <v>297</v>
      </c>
    </row>
    <row r="33" customFormat="false" ht="15" hidden="false" customHeight="false" outlineLevel="0" collapsed="false">
      <c r="A33" s="8" t="s">
        <v>298</v>
      </c>
      <c r="B33" s="8" t="n">
        <f aca="false">B8*B28*B29*(B30*B7+B31*B32)</f>
        <v>25.90752536064</v>
      </c>
      <c r="C33" s="8" t="s">
        <v>251</v>
      </c>
      <c r="D33" s="8"/>
    </row>
    <row r="34" customFormat="false" ht="15" hidden="false" customHeight="false" outlineLevel="0" collapsed="false">
      <c r="A34" s="19" t="s">
        <v>299</v>
      </c>
      <c r="B34" s="25" t="n">
        <f aca="false">B33/B5</f>
        <v>0.0681776983174737</v>
      </c>
      <c r="C34" s="8" t="s">
        <v>280</v>
      </c>
      <c r="D34" s="8" t="s">
        <v>300</v>
      </c>
    </row>
    <row r="35" customFormat="false" ht="15" hidden="false" customHeight="false" outlineLevel="0" collapsed="false">
      <c r="B35" s="26"/>
    </row>
    <row r="36" customFormat="false" ht="15" hidden="false" customHeight="false" outlineLevel="0" collapsed="false">
      <c r="C36" s="26"/>
    </row>
    <row r="37" customFormat="false" ht="15" hidden="false" customHeight="false" outlineLevel="0" collapsed="false">
      <c r="D37" s="26"/>
    </row>
    <row r="38" customFormat="false" ht="23.85" hidden="false" customHeight="false" outlineLevel="0" collapsed="false">
      <c r="A38" s="12" t="s">
        <v>301</v>
      </c>
      <c r="B38" s="25" t="n">
        <f aca="false">B33*0.55/B5</f>
        <v>0.0374977340746105</v>
      </c>
      <c r="C38" s="8" t="s">
        <v>280</v>
      </c>
      <c r="D38" s="8" t="s">
        <v>302</v>
      </c>
    </row>
    <row r="40" customFormat="false" ht="72" hidden="false" customHeight="true" outlineLevel="0" collapsed="false">
      <c r="A40" s="2" t="s">
        <v>303</v>
      </c>
      <c r="B40" s="2"/>
      <c r="C40" s="2"/>
      <c r="D40" s="2"/>
    </row>
  </sheetData>
  <mergeCells count="5">
    <mergeCell ref="A1:D1"/>
    <mergeCell ref="A3:D3"/>
    <mergeCell ref="A15:D15"/>
    <mergeCell ref="A26:D26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304</v>
      </c>
      <c r="B1" s="1"/>
      <c r="C1" s="1"/>
      <c r="D1" s="1"/>
    </row>
    <row r="3" customFormat="false" ht="30" hidden="false" customHeight="true" outlineLevel="0" collapsed="false">
      <c r="A3" s="6" t="s">
        <v>6</v>
      </c>
      <c r="B3" s="6" t="s">
        <v>305</v>
      </c>
      <c r="C3" s="6" t="s">
        <v>9</v>
      </c>
      <c r="D3" s="6" t="s">
        <v>306</v>
      </c>
    </row>
    <row r="4" customFormat="false" ht="42" hidden="false" customHeight="true" outlineLevel="0" collapsed="false">
      <c r="A4" s="7" t="s">
        <v>11</v>
      </c>
      <c r="B4" s="8" t="s">
        <v>307</v>
      </c>
      <c r="C4" s="9" t="s">
        <v>14</v>
      </c>
      <c r="D4" s="8" t="s">
        <v>308</v>
      </c>
    </row>
    <row r="5" customFormat="false" ht="42" hidden="false" customHeight="true" outlineLevel="0" collapsed="false">
      <c r="A5" s="7" t="s">
        <v>16</v>
      </c>
      <c r="B5" s="8" t="s">
        <v>309</v>
      </c>
      <c r="C5" s="9" t="s">
        <v>14</v>
      </c>
      <c r="D5" s="8" t="s">
        <v>310</v>
      </c>
    </row>
    <row r="6" customFormat="false" ht="42" hidden="false" customHeight="true" outlineLevel="0" collapsed="false">
      <c r="A6" s="7" t="s">
        <v>20</v>
      </c>
      <c r="B6" s="8" t="s">
        <v>311</v>
      </c>
      <c r="C6" s="9" t="s">
        <v>14</v>
      </c>
      <c r="D6" s="8" t="s">
        <v>312</v>
      </c>
    </row>
    <row r="7" customFormat="false" ht="42" hidden="false" customHeight="true" outlineLevel="0" collapsed="false">
      <c r="A7" s="7" t="s">
        <v>25</v>
      </c>
      <c r="B7" s="8" t="s">
        <v>313</v>
      </c>
      <c r="C7" s="11" t="s">
        <v>32</v>
      </c>
      <c r="D7" s="8" t="s">
        <v>314</v>
      </c>
    </row>
    <row r="8" customFormat="false" ht="42" hidden="false" customHeight="true" outlineLevel="0" collapsed="false">
      <c r="A8" s="7" t="s">
        <v>29</v>
      </c>
      <c r="B8" s="8" t="s">
        <v>315</v>
      </c>
      <c r="C8" s="11" t="s">
        <v>32</v>
      </c>
      <c r="D8" s="8" t="s">
        <v>316</v>
      </c>
    </row>
    <row r="9" customFormat="false" ht="42" hidden="false" customHeight="true" outlineLevel="0" collapsed="false">
      <c r="A9" s="7" t="s">
        <v>34</v>
      </c>
      <c r="B9" s="8" t="s">
        <v>317</v>
      </c>
      <c r="C9" s="11" t="s">
        <v>32</v>
      </c>
      <c r="D9" s="8" t="s">
        <v>318</v>
      </c>
    </row>
    <row r="10" customFormat="false" ht="42" hidden="false" customHeight="true" outlineLevel="0" collapsed="false">
      <c r="A10" s="7" t="s">
        <v>38</v>
      </c>
      <c r="B10" s="8" t="s">
        <v>319</v>
      </c>
      <c r="C10" s="11" t="s">
        <v>32</v>
      </c>
      <c r="D10" s="8" t="s">
        <v>320</v>
      </c>
    </row>
    <row r="11" customFormat="false" ht="42" hidden="false" customHeight="true" outlineLevel="0" collapsed="false">
      <c r="A11" s="7" t="s">
        <v>42</v>
      </c>
      <c r="B11" s="8" t="s">
        <v>321</v>
      </c>
      <c r="C11" s="11" t="s">
        <v>32</v>
      </c>
      <c r="D11" s="8" t="s">
        <v>322</v>
      </c>
    </row>
    <row r="12" customFormat="false" ht="42" hidden="false" customHeight="true" outlineLevel="0" collapsed="false">
      <c r="A12" s="7" t="s">
        <v>46</v>
      </c>
      <c r="B12" s="8" t="s">
        <v>323</v>
      </c>
      <c r="C12" s="11" t="s">
        <v>32</v>
      </c>
      <c r="D12" s="8" t="s">
        <v>324</v>
      </c>
    </row>
    <row r="13" customFormat="false" ht="42" hidden="false" customHeight="true" outlineLevel="0" collapsed="false">
      <c r="A13" s="7" t="s">
        <v>50</v>
      </c>
      <c r="B13" s="8" t="s">
        <v>325</v>
      </c>
      <c r="C13" s="11" t="s">
        <v>32</v>
      </c>
      <c r="D13" s="8" t="s">
        <v>326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</cols>
  <sheetData>
    <row r="1" customFormat="false" ht="25.5" hidden="false" customHeight="true" outlineLevel="0" collapsed="false">
      <c r="A1" s="1" t="s">
        <v>327</v>
      </c>
      <c r="B1" s="1"/>
    </row>
    <row r="3" customFormat="false" ht="54" hidden="false" customHeight="true" outlineLevel="0" collapsed="false">
      <c r="A3" s="27" t="s">
        <v>328</v>
      </c>
      <c r="B3" s="8" t="s">
        <v>329</v>
      </c>
    </row>
    <row r="4" customFormat="false" ht="54" hidden="false" customHeight="true" outlineLevel="0" collapsed="false">
      <c r="A4" s="27" t="s">
        <v>330</v>
      </c>
      <c r="B4" s="8" t="s">
        <v>331</v>
      </c>
    </row>
    <row r="5" customFormat="false" ht="54" hidden="false" customHeight="true" outlineLevel="0" collapsed="false">
      <c r="A5" s="27" t="s">
        <v>332</v>
      </c>
      <c r="B5" s="8" t="s">
        <v>333</v>
      </c>
    </row>
    <row r="6" customFormat="false" ht="54" hidden="false" customHeight="true" outlineLevel="0" collapsed="false">
      <c r="A6" s="27" t="s">
        <v>334</v>
      </c>
      <c r="B6" s="8" t="s">
        <v>335</v>
      </c>
    </row>
    <row r="7" customFormat="false" ht="54" hidden="false" customHeight="true" outlineLevel="0" collapsed="false">
      <c r="A7" s="27" t="s">
        <v>336</v>
      </c>
      <c r="B7" s="8" t="s">
        <v>337</v>
      </c>
    </row>
    <row r="8" customFormat="false" ht="54" hidden="false" customHeight="true" outlineLevel="0" collapsed="false">
      <c r="A8" s="27" t="s">
        <v>338</v>
      </c>
      <c r="B8" s="8" t="s">
        <v>339</v>
      </c>
    </row>
    <row r="9" customFormat="false" ht="54" hidden="false" customHeight="true" outlineLevel="0" collapsed="false">
      <c r="A9" s="27" t="s">
        <v>340</v>
      </c>
      <c r="B9" s="8" t="s">
        <v>341</v>
      </c>
    </row>
    <row r="10" customFormat="false" ht="54" hidden="false" customHeight="true" outlineLevel="0" collapsed="false">
      <c r="A10" s="27" t="s">
        <v>342</v>
      </c>
      <c r="B10" s="8" t="s">
        <v>343</v>
      </c>
    </row>
    <row r="12" customFormat="false" ht="43.5" hidden="false" customHeight="true" outlineLevel="0" collapsed="false">
      <c r="A12" s="2" t="s">
        <v>344</v>
      </c>
      <c r="B12" s="2"/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2026-08-03T14:12:11Z</dcterms:created>
  <dc:creator>openpyxl</dc:creator>
  <dc:description/>
  <dc:language>en-US</dc:language>
  <cp:lastModifiedBy/>
  <dcterms:modified xsi:type="dcterms:W3CDTF">2026-08-03T14:12:12Z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