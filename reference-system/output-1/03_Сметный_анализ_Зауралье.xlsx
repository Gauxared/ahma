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README" sheetId="1" state="visible" r:id="rId3"/>
    <sheet name="02_Объект" sheetId="2" state="visible" r:id="rId4"/>
    <sheet name="03_Чеклист_ЛСР" sheetId="3" state="visible" r:id="rId5"/>
    <sheet name="04_Свод_ЛСР" sheetId="4" state="visible" r:id="rId6"/>
    <sheet name="05_Блок_КС" sheetId="5" state="visible" r:id="rId7"/>
    <sheet name="06_Матер_Оборуд" sheetId="6" state="visible" r:id="rId8"/>
    <sheet name="07_НР_СП" sheetId="7" state="visible" r:id="rId9"/>
    <sheet name="08_Пересчёт_2026" sheetId="8" state="visible" r:id="rId10"/>
    <sheet name="09_Конъюнктура" sheetId="9" state="visible" r:id="rId11"/>
    <sheet name="10_Финрезультат" sheetId="10" state="visible" r:id="rId12"/>
    <sheet name="11_Передачи_смежникам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<sst xmlns="http://schemas.openxmlformats.org/spreadsheetml/2006/main" count="397" uniqueCount="324">
  <si>
    <t xml:space="preserve">СТРОЙИНТЕЛЛЕКТ.СМЕТЧИК v8.2 · ИИ-СМЕТЧИК · СМЕТНЫЙ РАЗБОР</t>
  </si>
  <si>
    <t xml:space="preserve">ЖДПП «Зауралье» — СОТ+ЭОМ · ст. Зауралье, 76 км · Половинский р-н · Курганская обл. · SI-2026-KRG-ZAU-СОТ · 03.08.2026</t>
  </si>
  <si>
    <t xml:space="preserve">ЗАКЛЮЧЕНИЕ СМЕТЧИКА — 4 СТРОКИ</t>
  </si>
  <si>
    <t xml:space="preserve">🔴 НМЦК НЕДОСТОВЕРНА — НЕ ПОДАВАТЬ БЕЗ ОТВЕТА РЖД. Блок «вынос/возврат контактной сети» 64 710 398 ₽ (198,12 км) проектом РД не обоснован (ГНБ-проколы, опоры ≥2 м от КС). Согласна с ИИ-ГИП — ВОР по блоку возвращаю. Это 62% Гл.1-9 без НДС.</t>
  </si>
  <si>
    <t xml:space="preserve">🔴 ДВОЙНОЙ СЧЁТ ПНР — 890 669,50 ₽. ПНР сидит и внутри ЛСР СОТ, и отдельным ЛСР в Гл.9. В НМЦК задвоено ≈1,09 млн ₽ с НДС. «Копейка в копейку» у ИИ-руководителя проекта сошлась именно из-за задвоения. Урок Каранайаула наоборот — не выпало, а задвоилось.</t>
  </si>
  <si>
    <t xml:space="preserve">🔴 ОБОРУДОВАНИЕ СОТ НЕ В СМЕТЕ. 202 камеры, 2×СХД, 8×РЛС, 8×НЕО, 36 коммутаторов, ИБП как поставка отсутствуют (в смете 2,22 млн = монтаж + криптошлюзы ViPNet 1,39 млн). Материалы 1,86 млн — аномально мало. Объём не определён → себес неполон.</t>
  </si>
  <si>
    <t xml:space="preserve">🟡 НДС 20% в смете, с 01.01.2026 — 22% (ФЗ 425-ФЗ), работы 2026 → недобор ≈2,14 млн ₽ при твёрдой цене. Смета в ценах II кв.2025, исполнение 2026 → нужен пересчёт индексов (флаг 7). Обе правки — до подписания.</t>
  </si>
  <si>
    <t xml:space="preserve">КЛЮЧЕВЫЕ ЦИФРЫ (рубли)</t>
  </si>
  <si>
    <t xml:space="preserve">Показатель</t>
  </si>
  <si>
    <t xml:space="preserve">Сумма, ₽</t>
  </si>
  <si>
    <t xml:space="preserve">Комментарий</t>
  </si>
  <si>
    <t xml:space="preserve">Сметная стоимость по ССРСС, с НДС 20%</t>
  </si>
  <si>
    <t xml:space="preserve">сумма 4 ЛСР ×1,02 ×1,20; ССРСС стр.49</t>
  </si>
  <si>
    <t xml:space="preserve">   в т.ч. Гл.1-9 (= сумма 4 ЛСР)</t>
  </si>
  <si>
    <t xml:space="preserve">сходится до рубля</t>
  </si>
  <si>
    <t xml:space="preserve">❗ Блок «вынос КС» — НЕ обоснован РД</t>
  </si>
  <si>
    <t xml:space="preserve">198,12 км · воздух/незакрываемо при КС-2</t>
  </si>
  <si>
    <t xml:space="preserve">❗ Двойной счёт ПНР (без НДС)</t>
  </si>
  <si>
    <t xml:space="preserve">задвоен: ЛСР СОТ + отдельный ЛСР ПНР</t>
  </si>
  <si>
    <t xml:space="preserve">❗ Недобор НДС 20%→22% (тверд.цена)</t>
  </si>
  <si>
    <t xml:space="preserve">ФЗ 425-ФЗ, работы 2026</t>
  </si>
  <si>
    <t xml:space="preserve">Материалы в смете (аномально мало)</t>
  </si>
  <si>
    <t xml:space="preserve">1,86 млн на весь объект</t>
  </si>
  <si>
    <t xml:space="preserve">Оборудование в смете (без «железа» ПД)</t>
  </si>
  <si>
    <t xml:space="preserve">нет камер/серверов/РЛС/ИБП</t>
  </si>
  <si>
    <t xml:space="preserve">Номинальный запас НР+СП («жирок»)</t>
  </si>
  <si>
    <t xml:space="preserve">из них ≈24 млн — на блоке КС</t>
  </si>
  <si>
    <t xml:space="preserve">КАРТА ФАЙЛА</t>
  </si>
  <si>
    <t xml:space="preserve">Лист</t>
  </si>
  <si>
    <t xml:space="preserve">Содержание</t>
  </si>
  <si>
    <t xml:space="preserve">02_Объект</t>
  </si>
  <si>
    <t xml:space="preserve">Паспорт объекта (ИИ-руководитель проекта + ИИ-ГИП)</t>
  </si>
  <si>
    <t xml:space="preserve">03_Чеклист_ЛСР</t>
  </si>
  <si>
    <t xml:space="preserve">Чеклист полноты ЛСР — протокол v8 (5 пунктов)</t>
  </si>
  <si>
    <t xml:space="preserve">04_Свод_ЛСР ⭐</t>
  </si>
  <si>
    <t xml:space="preserve">4 ЛСР vs Гл.1-9: сходимость и двойной счёт ПНР</t>
  </si>
  <si>
    <t xml:space="preserve">05_Блок_КС ⭐⭐</t>
  </si>
  <si>
    <t xml:space="preserve">Контактная сеть 198 км — разбор по позициям в ₽</t>
  </si>
  <si>
    <t xml:space="preserve">06_Матер_Оборуд</t>
  </si>
  <si>
    <t xml:space="preserve">Смета vs спецификация ПД — чего не хватает</t>
  </si>
  <si>
    <t xml:space="preserve">07_НР_СП</t>
  </si>
  <si>
    <t xml:space="preserve">Разложение НР/СП — где висит «жирок»</t>
  </si>
  <si>
    <t xml:space="preserve">08_Пересчёт_2026</t>
  </si>
  <si>
    <t xml:space="preserve">Индексы II кв.2025 → 2026 + НДС 22%</t>
  </si>
  <si>
    <t xml:space="preserve">09_Конъюнктура</t>
  </si>
  <si>
    <t xml:space="preserve">Рыночные ориентиры: СИП-4, опоры, плиты, ВОК</t>
  </si>
  <si>
    <t xml:space="preserve">10_Финрезультат ⭐</t>
  </si>
  <si>
    <t xml:space="preserve">Влияние на маржу — 3 сценария по блоку КС</t>
  </si>
  <si>
    <t xml:space="preserve">11_Передачи смежникам</t>
  </si>
  <si>
    <t xml:space="preserve">Задания команде + алерт ИИ-руководителю проекта</t>
  </si>
  <si>
    <t xml:space="preserve">ЦВЕТ: 🟨 редактируемые ячейки (индекс/цены/сценарий) · 🟥 риск/убыток · 🟩 обосновано · синий текст — исходные данные ЛСР · чёрный — формулы. Точность: смета с ЛСР ±3-5%; рыночные ориентиры ±15%.</t>
  </si>
  <si>
    <t xml:space="preserve">ПАСПОРТ ОБЪЕКТА</t>
  </si>
  <si>
    <t xml:space="preserve">Источник: паспорт ИИ-руководителя проекта (Такт 0) + техзаключение ИИ-ГИП (ЦИМ, Такт 1)</t>
  </si>
  <si>
    <t xml:space="preserve">Параметр</t>
  </si>
  <si>
    <t xml:space="preserve">Значение</t>
  </si>
  <si>
    <t xml:space="preserve">ID объекта</t>
  </si>
  <si>
    <t xml:space="preserve">SI-2026-KRG-ZAU-СОТ</t>
  </si>
  <si>
    <t xml:space="preserve">Наименование</t>
  </si>
  <si>
    <t xml:space="preserve">Оснащение системой видеонаблюдения ЖДПП «Зауралье». СОТ (охранное ТВ) + ЭОМ (электроснабжение). Актуализация ПСД</t>
  </si>
  <si>
    <t xml:space="preserve">Адрес</t>
  </si>
  <si>
    <t xml:space="preserve">Курганская обл., Половинский р-н, ст. Зауралье, 76 км, пк 6+80 — пограничный ж/д пункт пропуска</t>
  </si>
  <si>
    <t xml:space="preserve">Заказчик</t>
  </si>
  <si>
    <t xml:space="preserve">⚠ НЕ идентифицирован. Интересант — ПУ ФСБ по Курганской и Тюменской обл. Установить ЛПР и финансирование (ИИ-договорник)</t>
  </si>
  <si>
    <t xml:space="preserve">Проектировщик</t>
  </si>
  <si>
    <t xml:space="preserve">АО «Оргэнергострой», Москва. Проект 1102/23-Зауралье. ГИП Безъязыков Д.С.</t>
  </si>
  <si>
    <t xml:space="preserve">Смету составил</t>
  </si>
  <si>
    <t xml:space="preserve">инж. Распопов Н.А.; проверил Гончаров К.В.</t>
  </si>
  <si>
    <t xml:space="preserve">Тип объекта</t>
  </si>
  <si>
    <t xml:space="preserve">Слаботочка (СОТ) + электроснабжение 0,4 кВ (ЭОМ) на действующей ж/д станции. НЕ капстрой — монтаж систем</t>
  </si>
  <si>
    <t xml:space="preserve">Особый режим</t>
  </si>
  <si>
    <t xml:space="preserve">Погранпункт → категорированные помещения (ФЗ 5485-1, спецпроверки ФСБ). Контактная сеть 27,5 кВ → «окна» РЖД</t>
  </si>
  <si>
    <t xml:space="preserve">Стадия</t>
  </si>
  <si>
    <t xml:space="preserve">Предстартовая проработка. ПД «П». РД для точных объёмов ещё нужна</t>
  </si>
  <si>
    <t xml:space="preserve">Сметная стоимость</t>
  </si>
  <si>
    <t xml:space="preserve">128 491,5 тыс.₽ с НДС 20% (текущий уровень цен II кв.2025); без НДС 107 076,24 тыс.₽</t>
  </si>
  <si>
    <t xml:space="preserve">Метод</t>
  </si>
  <si>
    <t xml:space="preserve">Ресурсный + ресурсно-индексный. ГРАНД-Смета 2026.1, ФСНБ (421/пр) + индексы до 299/пр от 19.05.2025</t>
  </si>
  <si>
    <t xml:space="preserve">Плановый срок</t>
  </si>
  <si>
    <t xml:space="preserve">⚠ НЕ задан. Зимний ж/д монтаж + «окна» РЖД — риск</t>
  </si>
  <si>
    <t xml:space="preserve">Целевая маржа</t>
  </si>
  <si>
    <t xml:space="preserve">8–9% НМЦК; красная линия 5% (ИИ-руководитель проекта)</t>
  </si>
  <si>
    <t xml:space="preserve">Заключение ГИП по ВОР</t>
  </si>
  <si>
    <t xml:space="preserve">🔴 ВОЗВРАЩЁН (ИИ-ГИП): блок «выноса КС» не обоснован РД</t>
  </si>
  <si>
    <t xml:space="preserve">Заключение РП</t>
  </si>
  <si>
    <t xml:space="preserve">🟡 ЖЁЛТЫЙ — брать в проработку, себес пока НЕ достоверен (ИИ-руководитель проекта)</t>
  </si>
  <si>
    <t xml:space="preserve">ЧЕКЛИСТ ПОЛНОТЫ ЛСР — ПРОТОКОЛ v8 (5 ПУНКТОВ)</t>
  </si>
  <si>
    <t xml:space="preserve">Результат: 2 из 5 пройдено (с оговорками) — объект НЕ готов к подаче без эскалации</t>
  </si>
  <si>
    <t xml:space="preserve">№</t>
  </si>
  <si>
    <t xml:space="preserve">Пункт проверки</t>
  </si>
  <si>
    <t xml:space="preserve">Статус</t>
  </si>
  <si>
    <t xml:space="preserve">Сумма ЛСР = Свод по главам?</t>
  </si>
  <si>
    <t xml:space="preserve">🟡 ФОРМАЛЬНО</t>
  </si>
  <si>
    <t xml:space="preserve">Сумма 4 ЛСР = 104 976 702 ₽ = Гл.1-9 до рубля. НО сходимость обеспечена ЗАДВОЕНИЕМ ПНР (п.2). По существу завышено на 890 670 ₽.</t>
  </si>
  <si>
    <t xml:space="preserve">Нет дублей между ЛСР?</t>
  </si>
  <si>
    <t xml:space="preserve">❌ НЕ ПРОЙДЕНО</t>
  </si>
  <si>
    <t xml:space="preserve">ПНР 890 669,50 ₽ задвоен: внутри ЛСР СОТ + отдельный ЛСР в Гл.9. Двойной счёт. Лист 04.</t>
  </si>
  <si>
    <t xml:space="preserve">Нет отриц./нулевых объёмов?</t>
  </si>
  <si>
    <t xml:space="preserve">🟡 ЧАСТИЧНО</t>
  </si>
  <si>
    <t xml:space="preserve">«Расчётный ток 95,28 А» — ошибка метода (ИИ-ГИП), на смету не влияет. Технич. нулей не выявлено.</t>
  </si>
  <si>
    <t xml:space="preserve">Все ЛСР в маппинге (нет белых пятен)?</t>
  </si>
  <si>
    <t xml:space="preserve">Оборудование СОТ (202 камеры, 2×СХД, 8×РЛС, 36 коммут., ИБП) как поставка ОТСУТСТВУЕТ. Материалы 1,86 млн. Лист 06.</t>
  </si>
  <si>
    <t xml:space="preserve">Крупный блок ≥5% НМЦК обоснован?</t>
  </si>
  <si>
    <t xml:space="preserve">Блок «вынос КС» 64 710 398 ₽ (62% Гл.1-9) не обоснован РД. Блокер. Запрос в РЖД через ИИ-договорника. Лист 05.</t>
  </si>
  <si>
    <t xml:space="preserve">ИТОГ: 2 из 5. Объект не готов к подаче без эскалации 3 красных пунктов. Финальное решение — за ИИ-руководителем проекта.</t>
  </si>
  <si>
    <t xml:space="preserve">СВОД 4 ЛСР vs Гл.1-9 — СХОДИМОСТЬ И ДВОЙНОЙ СЧЁТ ПНР</t>
  </si>
  <si>
    <t xml:space="preserve">Источник: ВСЕГО по смете каждого ЛСР</t>
  </si>
  <si>
    <t xml:space="preserve">А. ИТОГИ ЧЕТЫРЁХ ЛСР</t>
  </si>
  <si>
    <t xml:space="preserve">ЛСР</t>
  </si>
  <si>
    <t xml:space="preserve">Шифр</t>
  </si>
  <si>
    <t xml:space="preserve">ВСЕГО, ₽</t>
  </si>
  <si>
    <t xml:space="preserve">Что внутри</t>
  </si>
  <si>
    <t xml:space="preserve">СОТ — Система видеонаблюдения</t>
  </si>
  <si>
    <t xml:space="preserve">05-02</t>
  </si>
  <si>
    <t xml:space="preserve">монтаж 11 086 179 + оборуд 2 222 036 + ПНР 890 670 ⚠</t>
  </si>
  <si>
    <t xml:space="preserve">ЭОМ — Система электроснабжения</t>
  </si>
  <si>
    <t xml:space="preserve">05-01</t>
  </si>
  <si>
    <t xml:space="preserve">строит 20 096 173 + монтаж 69 436 392 (в т.ч. блок КС)</t>
  </si>
  <si>
    <t xml:space="preserve">ПНР — Пусконаладка СОТ</t>
  </si>
  <si>
    <t xml:space="preserve">09-01</t>
  </si>
  <si>
    <t xml:space="preserve">⚠ дубль: та же ПНР, что внутри ЛСР СОТ</t>
  </si>
  <si>
    <t xml:space="preserve">СП и СИ — спецпроверки ФСБ</t>
  </si>
  <si>
    <t xml:space="preserve">09-02</t>
  </si>
  <si>
    <t xml:space="preserve">категорированные помещения, ФЗ 5485-1</t>
  </si>
  <si>
    <t xml:space="preserve">СУММА 4 ЛСР</t>
  </si>
  <si>
    <t xml:space="preserve">≈ Гл.1-9 ССРСС — сходится до рубля</t>
  </si>
  <si>
    <t xml:space="preserve">Б. ГДЕ СИДИТ ПНР (раскрытие ЛСР СОТ)</t>
  </si>
  <si>
    <t xml:space="preserve">Компонент ЛСР СОТ</t>
  </si>
  <si>
    <t xml:space="preserve">₽</t>
  </si>
  <si>
    <t xml:space="preserve">Примечание</t>
  </si>
  <si>
    <t xml:space="preserve">Монтажные работы</t>
  </si>
  <si>
    <t xml:space="preserve">монтаж камер, СКС, ВОЛС</t>
  </si>
  <si>
    <t xml:space="preserve">Оборудование</t>
  </si>
  <si>
    <t xml:space="preserve">в т.ч. криптошлюзы ViPNet 1 386 845 («отсутств. в ФРСН»)</t>
  </si>
  <si>
    <t xml:space="preserve">Пусконаладочные работы (ПНР)</t>
  </si>
  <si>
    <t xml:space="preserve">⚠ ЭТА ЖЕ ПНР дублирована отдельным ЛСР в Гл.9</t>
  </si>
  <si>
    <t xml:space="preserve">ВСЕГО ЛСР СОТ</t>
  </si>
  <si>
    <t xml:space="preserve">итого 14 198 885 ₽</t>
  </si>
  <si>
    <t xml:space="preserve">В. ДВОЙНОЙ СЧЁТ ПНР — ДЕНЕЖНЫЙ ЭФФЕКТ</t>
  </si>
  <si>
    <t xml:space="preserve">Двойной счёт ПНР (без НДС)</t>
  </si>
  <si>
    <t xml:space="preserve">строка «ПНР» в ЛСР СОТ = отдельный ЛСР ПНР, рубль в рубль</t>
  </si>
  <si>
    <t xml:space="preserve">   с непредв. 2% и НДС 20%</t>
  </si>
  <si>
    <t xml:space="preserve">завышение НМЦК с НДС ≈ 1,09 млн ₽</t>
  </si>
  <si>
    <t xml:space="preserve">Г. ПЕРЕХОД К НМЦК (ССРСС)</t>
  </si>
  <si>
    <t xml:space="preserve">Строка ССРСС</t>
  </si>
  <si>
    <t xml:space="preserve">Гл.1-9 (= сумма 4 ЛСР)</t>
  </si>
  <si>
    <t xml:space="preserve">сумма 4 ЛСР</t>
  </si>
  <si>
    <t xml:space="preserve">Непредвиденные 2% (421/пр п.179)</t>
  </si>
  <si>
    <t xml:space="preserve">2% непроизв. объект</t>
  </si>
  <si>
    <t xml:space="preserve">Итого без НДС</t>
  </si>
  <si>
    <t xml:space="preserve">НДС 20% (в смете; должно 22%)</t>
  </si>
  <si>
    <t xml:space="preserve">⚠ ФЗ 425-ФЗ</t>
  </si>
  <si>
    <t xml:space="preserve">ВСЕГО по ССРСС с НДС 20%</t>
  </si>
  <si>
    <t xml:space="preserve">итого 128 491 484 ₽</t>
  </si>
  <si>
    <t xml:space="preserve">БЛОК «ВЫНОС/ВОЗВРАТ КОНТАКТНОЙ СЕТИ» (ГЭСНм20-03-035) — РАЗБОР В РУБЛЯХ</t>
  </si>
  <si>
    <t xml:space="preserve">Источник: ЛСР ЭОМ, Раздел 2. Позиции — «Всего по позиции» (прямые+НР+СП). Заключение ИИ-ГИП: 🔴 ВОЗВРАЩАЮ</t>
  </si>
  <si>
    <t xml:space="preserve">Проектное решение РД: пересечения КС решены проколами ГНБ на 3 м, опоры ≥2 м от КС (ТУ РЖД пп.5-6). Значит вынос/возврат КС обоснован ТОЛЬКО в 3 местах жёстких поперечин П-перехода. Большой блок 198 км физически невозможен на станции 2,5 км (кратность к физике ~11×).</t>
  </si>
  <si>
    <t xml:space="preserve">❌ БОЛЬШОЙ БЛОК — НЕ ОБОСНОВАН РД (воздух / незакрываемо при КС-2)</t>
  </si>
  <si>
    <t xml:space="preserve">Поз.</t>
  </si>
  <si>
    <t xml:space="preserve">Расценка ГЭСНм</t>
  </si>
  <si>
    <t xml:space="preserve">Ед.</t>
  </si>
  <si>
    <t xml:space="preserve">Объём</t>
  </si>
  <si>
    <t xml:space="preserve">ВСЕГО по позиции, ₽</t>
  </si>
  <si>
    <t xml:space="preserve">ГЭСНм20-035-01</t>
  </si>
  <si>
    <t xml:space="preserve">км</t>
  </si>
  <si>
    <t xml:space="preserve">ГЭСНм20-035-02</t>
  </si>
  <si>
    <t xml:space="preserve">ГЭСНм20-035-04</t>
  </si>
  <si>
    <t xml:space="preserve">ГЭСНм20-035-03</t>
  </si>
  <si>
    <t xml:space="preserve">ГЭСНм20-035-05</t>
  </si>
  <si>
    <t xml:space="preserve">ГЭСНм20-035-06</t>
  </si>
  <si>
    <t xml:space="preserve">ИТОГО большой блок</t>
  </si>
  <si>
    <t xml:space="preserve">   в т.ч. НР</t>
  </si>
  <si>
    <t xml:space="preserve">   в т.ч. СП</t>
  </si>
  <si>
    <t xml:space="preserve">✅ МАЛЫЙ БЛОК — ОБОСНОВАН (жёсткие поперечины П-перехода, монтаж над путями)</t>
  </si>
  <si>
    <t xml:space="preserve">ГЭСНм20-035-07</t>
  </si>
  <si>
    <t xml:space="preserve">шт</t>
  </si>
  <si>
    <t xml:space="preserve">ИТОГО малый блок</t>
  </si>
  <si>
    <t xml:space="preserve">ℹ ЗАЗЕМЛЕНИЕ ОПОР (ГЭСНм20-02-023) — обосновано, НЕ часть «выноса»</t>
  </si>
  <si>
    <t xml:space="preserve">Расценка</t>
  </si>
  <si>
    <t xml:space="preserve">ГЭСНм20-02-023-01</t>
  </si>
  <si>
    <t xml:space="preserve">ИТОГО заземление</t>
  </si>
  <si>
    <t xml:space="preserve">ВЫВОД. Большой блок 64 710 398 ₽ — «воздух» при твёрдой цене (незакрываемо при КС-2: нельзя актировать невыполненный вынос) ИЛИ реальная работа с «окнами» РЖД и бригадой ЭЧ, если РЖД подтвердит. Снимается ценовым аудитом Гл.12 ССРСС. Без письменного ответа РЖД/Заказчика — ВОР возвращаю (согласна с ИИ-ГИП). Точная сумма — моя (ИИ-ГИП оценивал 45-55 млн, по ЛСР точно 64,71 млн).</t>
  </si>
  <si>
    <t xml:space="preserve">СМЕТА vs СПЕЦИФИКАЦИЯ ПД — ЧЕГО НЕ ХВАТАЕТ (флаги 3, 4)</t>
  </si>
  <si>
    <t xml:space="preserve">Материалы 1,86 млн + оборуд 2,22 млн — аномально мало для объекта с таким «железом»</t>
  </si>
  <si>
    <t xml:space="preserve">А. ЧТО ЕСТЬ В СМЕТЕ</t>
  </si>
  <si>
    <t xml:space="preserve">Статья</t>
  </si>
  <si>
    <t xml:space="preserve">В смете, ₽</t>
  </si>
  <si>
    <t xml:space="preserve">Материалы (все ЛСР)</t>
  </si>
  <si>
    <t xml:space="preserve">ЭОМ 1 596 779 + СОТ 265 428. Аномально мало</t>
  </si>
  <si>
    <t xml:space="preserve">Оборудование (СОТ)</t>
  </si>
  <si>
    <t xml:space="preserve">в т.ч. монтаж; «железо» ПД не заведено</t>
  </si>
  <si>
    <t xml:space="preserve">   из них криптошлюзы ViPNet</t>
  </si>
  <si>
    <t xml:space="preserve">единственное реальное оборудование в смете</t>
  </si>
  <si>
    <t xml:space="preserve">Б. ЧТО В ПД, НО НЕ В СМЕТЕ КАК ПОСТАВКА (объём не определён)</t>
  </si>
  <si>
    <t xml:space="preserve">Позиция ПД (спецификация)</t>
  </si>
  <si>
    <t xml:space="preserve">Кол-во</t>
  </si>
  <si>
    <t xml:space="preserve">Ориентир рынка</t>
  </si>
  <si>
    <t xml:space="preserve">Камеры видеонаблюдения</t>
  </si>
  <si>
    <t xml:space="preserve">202 шт (смета 191)</t>
  </si>
  <si>
    <t xml:space="preserve">десятки млн</t>
  </si>
  <si>
    <t xml:space="preserve">🔴 не как поставка; Δ11 шт + разрешение 4/8/16 Мп расходится</t>
  </si>
  <si>
    <t xml:space="preserve">Серверы СХД 384 Тб</t>
  </si>
  <si>
    <t xml:space="preserve">2 шт</t>
  </si>
  <si>
    <t xml:space="preserve">высокий</t>
  </si>
  <si>
    <t xml:space="preserve">🔴 отсутствует</t>
  </si>
  <si>
    <t xml:space="preserve">РЛС Orwell-R</t>
  </si>
  <si>
    <t xml:space="preserve">8 модулей</t>
  </si>
  <si>
    <t xml:space="preserve">Радиолучевые извещатели НЕО</t>
  </si>
  <si>
    <t xml:space="preserve">8 шт</t>
  </si>
  <si>
    <t xml:space="preserve">средний</t>
  </si>
  <si>
    <t xml:space="preserve">Коммутаторы уличные</t>
  </si>
  <si>
    <t xml:space="preserve">36 шт</t>
  </si>
  <si>
    <t xml:space="preserve">ИБП</t>
  </si>
  <si>
    <t xml:space="preserve">компл.</t>
  </si>
  <si>
    <t xml:space="preserve">Блок-контейнер</t>
  </si>
  <si>
    <t xml:space="preserve">чертёж 2 / смета 1</t>
  </si>
  <si>
    <t xml:space="preserve">—</t>
  </si>
  <si>
    <t xml:space="preserve">🟡 расхождение количества</t>
  </si>
  <si>
    <t xml:space="preserve">ВЫВОД для сметы: если оборудование в НАШЕМ объёме — себестоимость занижена на десятки млн, объект глубоко убыточен. Если давальческое / отдельный договор поставки — наша выручка = только монтаж (что и заведено). ВОПРОС ОБЪЁМА — ИИ-договорник+ИИ-снабженец (флаг 3). До ответа ВОР по оборудованию не закрываю.</t>
  </si>
  <si>
    <t xml:space="preserve">РАЗЛОЖЕНИЕ НР / СП — ГДЕ ВИСИТ «ЖИРОК»</t>
  </si>
  <si>
    <t xml:space="preserve">НР+СП — плановая сметная маржа. Реальная маржа = «жирок» минус реальные косвенные, минус НДС-разрыв, минус простои РЖД</t>
  </si>
  <si>
    <t xml:space="preserve">Доля</t>
  </si>
  <si>
    <t xml:space="preserve">Накладные расходы (НР), всего</t>
  </si>
  <si>
    <t xml:space="preserve">пр.812/пр. Покрытие косвенных, НЕ прибыль</t>
  </si>
  <si>
    <t xml:space="preserve">Сметная прибыль (СП), всего</t>
  </si>
  <si>
    <t xml:space="preserve">пр.774/пр. Плановая прибыль ≈12,6% Гл.1-9</t>
  </si>
  <si>
    <t xml:space="preserve">НОМИНАЛЬНЫЙ ЗАПАС НР+СП («жирок»)</t>
  </si>
  <si>
    <t xml:space="preserve">весь сметный «жирок» объекта</t>
  </si>
  <si>
    <t xml:space="preserve">СКОЛЬКО «ЖИРКА» ВИСИТ НА БЛОКЕ КС (воздух)</t>
  </si>
  <si>
    <t xml:space="preserve">НР на большом блоке КС</t>
  </si>
  <si>
    <t xml:space="preserve">СП на большом блоке КС</t>
  </si>
  <si>
    <t xml:space="preserve">ИТОГО НР+СП на воздухе</t>
  </si>
  <si>
    <t xml:space="preserve">доля «жирка» на невыполнимом блоке</t>
  </si>
  <si>
    <t xml:space="preserve">РЕАЛЬНЫЙ запас НР+СП (без блока КС)</t>
  </si>
  <si>
    <t xml:space="preserve">вот из этого и делается маржа на реальных работах</t>
  </si>
  <si>
    <t xml:space="preserve">КЛЮЧЕВОЙ ВЫВОД. Из ≈40,5 млн сметного «жирка» НР+СП почти 24 млн (59%) висит на блоке «выноса КС», который проектом не обоснован. Убери блок — «жирок» падает до ≈16,5 млн на реальные ~40 млн работ. Реальная маржа тонкая и зависит от косвенных, НДС-разрыва и простоев РЖД. Это и есть причина заключения 🟡.</t>
  </si>
  <si>
    <t xml:space="preserve">ПЕРЕСЧЁТ II кв.2025 → 2026 + НДС 22% (флаги 7 и 1)</t>
  </si>
  <si>
    <t xml:space="preserve">Смета в текущем уровне цен II кв.2025. Исполнение 2026 → нужна актуализация индексов и ставки НДС</t>
  </si>
  <si>
    <t xml:space="preserve">А. РЕИНДЕКС (флаг 7) — ПРЕДПОЛОЖЕНИЕ, подтвердить</t>
  </si>
  <si>
    <t xml:space="preserve">Источник / статус</t>
  </si>
  <si>
    <t xml:space="preserve">База СМР+монтаж без НДС (II кв.2025)</t>
  </si>
  <si>
    <t xml:space="preserve">СМР 20 957 + монтаж 79 662 тыс (Гл.1-9 без оборуд/прочих)</t>
  </si>
  <si>
    <t xml:space="preserve">Коэффициент реиндекса → 2026</t>
  </si>
  <si>
    <t xml:space="preserve">🟨 РЕДАКТИРУЕМО. Ориентир: дефлятор СМР ~5%/год. Точную взять из письма Минстроя на квартал производства (УрФО/Курган). Индексы выходят поквартально; письмо на II кв.2026 № 37404-ИФ/09 от 23.07.2026</t>
  </si>
  <si>
    <t xml:space="preserve">Удорожание себестоимости (ориентир)</t>
  </si>
  <si>
    <t xml:space="preserve">при твёрдой цене от II кв.2025 — съедает маржу молча</t>
  </si>
  <si>
    <t xml:space="preserve">Б. НДС 20% → 22% (флаг 1) — ФЗ 425-ФЗ от 28.11.2025</t>
  </si>
  <si>
    <t xml:space="preserve">База без НДС (Итого без НДС по ССРСС)</t>
  </si>
  <si>
    <t xml:space="preserve">НДС по смете 20%</t>
  </si>
  <si>
    <t xml:space="preserve">НДС по закону 22% (работы 2026)</t>
  </si>
  <si>
    <t xml:space="preserve">НЕДОБОР НДС при твёрдой цене</t>
  </si>
  <si>
    <t xml:space="preserve">≈2,14 млн ₽ съедает подрядчик, если цена «с НДС» фиксирована</t>
  </si>
  <si>
    <t xml:space="preserve">КОНЪЮНКТУРА — РЫНОЧНЫЕ ОРИЕНТИРЫ ПО КЛЮЧЕВЫМ РЕСУРСАМ</t>
  </si>
  <si>
    <t xml:space="preserve">Флаг ИИ-руководителя проекта: СИП-4, ВОК, металл опор, ж/б плиты. Ориентир ±15% — для КП ИИ-снабженца (не замена КП)</t>
  </si>
  <si>
    <t xml:space="preserve">Материалы в РИМ «зашиты» в позиции (база всего 1,86 млн). Ниже — физобъёмы из ЛСР и рыночные ориентиры для проверки ИИ-снабженцем. СИП-4 4,96 км — «эталон честного счёта» (ИИ-ГИП: смета = кабельный журнал РД, Δ0,1%).</t>
  </si>
  <si>
    <t xml:space="preserve">Ресурс</t>
  </si>
  <si>
    <t xml:space="preserve">Рынок мин, ₽/ед</t>
  </si>
  <si>
    <t xml:space="preserve">Рынок макс, ₽/ед</t>
  </si>
  <si>
    <t xml:space="preserve">Ориентир суммы / примечание</t>
  </si>
  <si>
    <t xml:space="preserve">СИП-4 4×25 (подвеска)</t>
  </si>
  <si>
    <t xml:space="preserve">м</t>
  </si>
  <si>
    <t xml:space="preserve">эталон РД; ~0,55-0,70 млн; источник: рынок РФ 2026 ~130 ₽/м</t>
  </si>
  <si>
    <t xml:space="preserve">Опоры металлические (с пути)</t>
  </si>
  <si>
    <t xml:space="preserve">6 шт св.массой + 127 шт до массы; КП по массе/марке — ИИ-снабженец</t>
  </si>
  <si>
    <t xml:space="preserve">Анкеры ж/б (фундаменты)</t>
  </si>
  <si>
    <t xml:space="preserve">1 анкер на опору</t>
  </si>
  <si>
    <t xml:space="preserve">Плиты ж/б дорожные (под б/к)</t>
  </si>
  <si>
    <t xml:space="preserve">м³</t>
  </si>
  <si>
    <t xml:space="preserve">ГЭСН27-06; ПП-6 6000×2000×140</t>
  </si>
  <si>
    <t xml:space="preserve">ВОК одномод</t>
  </si>
  <si>
    <t xml:space="preserve">по кабельному журналу РД — уточнить у ИИ-снабженца/ИИ-ПТО</t>
  </si>
  <si>
    <t xml:space="preserve">Прокат листовой Ст3</t>
  </si>
  <si>
    <t xml:space="preserve">т</t>
  </si>
  <si>
    <t xml:space="preserve">смета 62 596 ₽/т — в рынке</t>
  </si>
  <si>
    <t xml:space="preserve">Конъюнктура здесь — второстепенный рычаг: вся материальная база 1,86 млн против блока КС 64,7 млн. Реальные КП с логистикой до ст. Зауралье (плечо ~2000 км от Москвы, +5-12%) — задача ИИ-снабженца. Живые цены заменят эти ориентиры.</t>
  </si>
  <si>
    <t xml:space="preserve">ВЛИЯНИЕ НА МАРЖУ — 3 СЦЕНАРИЯ ПО РАЗРЕШЕНИЮ БЛОКА КС</t>
  </si>
  <si>
    <t xml:space="preserve">Знак маржи определяется судьбой блока «выноса КС». Красная линия 5% (ИИ-руководитель проекта). Три варианта — решение за ИИ-руководителем проекта</t>
  </si>
  <si>
    <t xml:space="preserve">Базовая НМЦК (потолок цены) = 128 491 484 ₽ с НДС / 107 076 237 ₽ без НДС. Всё упирается в блок КС 64,71 млн: реальная выручка это или «воздух»? Плюс сквозные вычеты: двойной ПНР, НДС-разрыв, реиндекс.</t>
  </si>
  <si>
    <t xml:space="preserve">Статья (без НДС)</t>
  </si>
  <si>
    <t xml:space="preserve">А. РЖД подтвердил
вынос КС</t>
  </si>
  <si>
    <t xml:space="preserve">Б. Объём КС снят
(ценовой аудит Гл.12)</t>
  </si>
  <si>
    <t xml:space="preserve">В. Тверд. цена,
вынос не делаем</t>
  </si>
  <si>
    <t xml:space="preserve">Собираемая выручка (без НДС)</t>
  </si>
  <si>
    <t xml:space="preserve">А: полная; Б/В: минус блок КС 64,71 млн (в В деньги за невыполненный вынос НЕ поступят — нельзя актировать при КС-2)</t>
  </si>
  <si>
    <t xml:space="preserve">− Реальная себестоимость работ</t>
  </si>
  <si>
    <t xml:space="preserve">труд+ЭМ+материалы+реальные НР; А: +реальный вынос КС, «окна» РЖД, бригада ЭЧ</t>
  </si>
  <si>
    <t xml:space="preserve">− Двойной счёт ПНР (уйдёт при аудите)</t>
  </si>
  <si>
    <t xml:space="preserve">воздух в цене, незакрываемо</t>
  </si>
  <si>
    <t xml:space="preserve">− НДС-разрыв 20%→22%</t>
  </si>
  <si>
    <t xml:space="preserve">при твёрдой цене «с НДС»; в Б/В база меньше</t>
  </si>
  <si>
    <t xml:space="preserve">− Реиндекс 2025→2026 (ориентир)</t>
  </si>
  <si>
    <t xml:space="preserve">удорожание при твёрдой цене от II кв.2025</t>
  </si>
  <si>
    <t xml:space="preserve">− Простои РЖД / претензии / кассовый провал</t>
  </si>
  <si>
    <t xml:space="preserve">А: риск простоев на выносе; В: акт разногласий, кассовый провал, риск ФАС</t>
  </si>
  <si>
    <t xml:space="preserve">ИТОГО ОЖИДАЕМАЯ МАРЖА (ориентир)</t>
  </si>
  <si>
    <t xml:space="preserve">диапазон, не точка — зависит от неизвестных</t>
  </si>
  <si>
    <t xml:space="preserve">% маржи к выручке</t>
  </si>
  <si>
    <t xml:space="preserve">красная линия 5%</t>
  </si>
  <si>
    <t xml:space="preserve">РЕКОМЕНДАЦИЯ ИИ-СМЕТЧИКА (решение — за ИИ-руководителем проекта)</t>
  </si>
  <si>
    <t xml:space="preserve">Базовый для планирования — СЦЕНАРИЙ Б (объём КС снят через запрос в РЖД / ценовой аудит Гл.12): честный объект ~40 млн работ, маржа реалистична при жёстком контроле. СЦЕНАРИЙ А приемлем ТОЛЬКО при письменном подтверждении РЖД + допуске бригады ЭЧ (риск простоев). СЦЕНАРИЙ В НЕ рекомендую — 79 млн «воздуха» нельзя закрыть при КС-2, кассовый провал + претензии/ФАС. До ответа РЖД себес недостоверен — финмодель ИИ-экономиста не строить на блоке КС как на выручке.</t>
  </si>
  <si>
    <t xml:space="preserve">⚠ Цифры себестоимости в сценариях — ПРЕДПОЛОЖЕНИЯ (±) для оценки знака маржи, а не точный финансовый результат. Точный финансовый результат — ИИ-экономист (Такт 5) на подтверждённых объёмах ИИ-ГИП и КП ИИ-снабженца.</t>
  </si>
  <si>
    <t xml:space="preserve">ПЕРЕДАЧИ СМЕЖНИКАМ КОМАНДЕ + АЛЕРТ ИИ-РУКОВОДИТЕЛЮ ПРОЕКТА</t>
  </si>
  <si>
    <t xml:space="preserve">Что несу дальше по конвейеру (порядок ИИ-руководителя проекта). Каждому — конкретная задача с денежным эффектом</t>
  </si>
  <si>
    <t xml:space="preserve">🚨 СМЕТНЫЙ АЛЕРТ | 03.08.2026
Ситуация: блок «вынос КС» 64,71 млн (62% Гл.1-9) не обоснован РД + двойной счёт ПНР 0,89 млн + НДС-разрыв 2,14 млн.
Сметный эффект: НМЦК завышена/недостоверна; из 40,5 млн «жирка» НР+СП 24 млн висит на воздухе.
Документ: разбор готов (этот файл).
Нужно решение ИИ-руководителя проекта: (1) эскалация запроса в РЖД по выносу КС; (2) запрос расшифровки объёма оборудования; (3) позиция по НДС 22% в договор.</t>
  </si>
  <si>
    <t xml:space="preserve">Кому</t>
  </si>
  <si>
    <t xml:space="preserve">Что несу / задача</t>
  </si>
  <si>
    <t xml:space="preserve">Приоритет</t>
  </si>
  <si>
    <t xml:space="preserve">→ ИИ-руководителю проекта (РП)</t>
  </si>
  <si>
    <t xml:space="preserve">3 красных флага подтверждаю и оцифровываю: КС 64,71 млн (не 45-55), двойной ПНР 0,89 млн, НДС-разрыв 2,14 млн. Заключение 🟡 поддерживаю. Рекомендация — сценарий Б.</t>
  </si>
  <si>
    <t xml:space="preserve">КРИТ</t>
  </si>
  <si>
    <t xml:space="preserve">→ ИИ-экономисту (Эконом)</t>
  </si>
  <si>
    <t xml:space="preserve">БЕЗ ответа РЖД финмодель не строить на блоке КС как на выручке. 3 сценария (лист 10) — вход в финансовый результат. Учесть НДС 22% (−2,14 млн), двойной ПНР (−0,89 млн), реиндекс.</t>
  </si>
  <si>
    <t xml:space="preserve">ВЫСОКИЙ</t>
  </si>
  <si>
    <t xml:space="preserve">→ ИИ-снабженцу (Снаб)</t>
  </si>
  <si>
    <t xml:space="preserve">Оборудование СОТ (202 камеры, 2×СХД, 8×РЛС, 8×НЕО, 36 коммут., ИБП) — наша поставка или давальческое? КП + сроки поставки до ст. Зауралье. Сверить разрешение камер (4/8/16 Мп). СИП-4 4×25 4,96 км, металл опор 133, плиты ж/б.</t>
  </si>
  <si>
    <t xml:space="preserve">→ ИИ-подрядчику (Подряд)</t>
  </si>
  <si>
    <t xml:space="preserve">Если РЖД подтвердит вынос КС — нужен подрядчик с допуском к работам на контактной сети 27,5 кВ и в «окна» (бригада ЭЧ). Спецтехника: автогидроподъёмник, вибропогружатель — аренда vs субподряд.</t>
  </si>
  <si>
    <t xml:space="preserve">СРЕДНИЙ</t>
  </si>
  <si>
    <t xml:space="preserve">→ ИИ-ПТО (ПТО)</t>
  </si>
  <si>
    <t xml:space="preserve">На КС-2 нельзя закрыть невыполненный «вынос КС» — держать под контролем. ИД под ж/д + категорированный объект: аккредит. электролаборатория, допуски РЖД, спецпроверки ФСБ.</t>
  </si>
  <si>
    <t xml:space="preserve">→ ИИ-договорнику (Договор)</t>
  </si>
  <si>
    <t xml:space="preserve">Официальные запросы Заказчику/РЖД: (1) фактически требуемый вынос КС; (2) объём оборудования — давальческое/отд. договор; (3) НДС 22% формулировка; (4) устранить двойной ПНР в НМЦК; (5) чьи риски простоя по «окнам».</t>
  </si>
  <si>
    <t xml:space="preserve">→ ИИ-администратору (Админ)</t>
  </si>
  <si>
    <t xml:space="preserve">Внести находки в реестр поручений с датами. Статус ВОР = 🔴 возвращён (согласовано с ИИ-ГИП). Собрать пакет к возврату ИИ-руководителю проекта.</t>
  </si>
  <si>
    <t xml:space="preserve">Разграничение с ИИ-ГИП: объём и состав (что и сколько, обосновано физикой/РД) — его зона; цена, индекс, НР/СП, сходимость, двойной счёт — моя. Блок КС вернули оба: он — по геометрии/РД, я — по деньгам и незакрываемости при КС-2.
ИИ-сметчик · Сметчик · СтройИнтеллект v8.2 · 03.08.2026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</si>
</sst>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\ ##0&quot; ₽&quot;;[RED]\-#\ ##0&quot; ₽&quot;;\-"/>
    <numFmt numFmtId="166" formatCode="0.00"/>
    <numFmt numFmtId="167" formatCode="0.0%"/>
    <numFmt numFmtId="168" formatCode="0.000"/>
    <numFmt numFmtId="169" formatCode="#\ 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1F3864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DEDED"/>
      </patternFill>
    </fill>
    <fill>
      <patternFill patternType="solid">
        <fgColor rgb="FFF8CBAD"/>
        <bgColor rgb="FFFFF2CC"/>
      </patternFill>
    </fill>
    <fill>
      <patternFill patternType="solid">
        <fgColor rgb="FFFFF2CC"/>
        <bgColor rgb="FFEDEDED"/>
      </patternFill>
    </fill>
    <fill>
      <patternFill patternType="solid">
        <fgColor rgb="FFC6E0B4"/>
        <bgColor rgb="FFD9E1F2"/>
      </patternFill>
    </fill>
    <fill>
      <patternFill patternType="solid">
        <fgColor rgb="FFEDEDED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2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7" min="5" style="0" width="14"/>
    <col collapsed="false" customWidth="true" hidden="false" outlineLevel="0" max="8" min="8" style="0" width="2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48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48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</row>
    <row r="7" customFormat="false" ht="48" hidden="false" customHeight="true" outlineLevel="0" collapsed="false">
      <c r="A7" s="4" t="s">
        <v>5</v>
      </c>
      <c r="B7" s="4"/>
      <c r="C7" s="4"/>
      <c r="D7" s="4"/>
      <c r="E7" s="4"/>
      <c r="F7" s="4"/>
      <c r="G7" s="4"/>
      <c r="H7" s="4"/>
    </row>
    <row r="8" customFormat="false" ht="48" hidden="false" customHeight="true" outlineLevel="0" collapsed="false">
      <c r="A8" s="5" t="s">
        <v>6</v>
      </c>
      <c r="B8" s="5"/>
      <c r="C8" s="5"/>
      <c r="D8" s="5"/>
      <c r="E8" s="5"/>
      <c r="F8" s="5"/>
      <c r="G8" s="5"/>
      <c r="H8" s="5"/>
    </row>
    <row r="10" customFormat="false" ht="15" hidden="false" customHeight="true" outlineLevel="0" collapsed="false">
      <c r="A10" s="3" t="s">
        <v>7</v>
      </c>
      <c r="B10" s="3"/>
      <c r="C10" s="3"/>
      <c r="D10" s="3"/>
      <c r="E10" s="3"/>
      <c r="F10" s="3"/>
      <c r="G10" s="3"/>
      <c r="H10" s="3"/>
    </row>
    <row r="11" customFormat="false" ht="27.75" hidden="false" customHeight="true" outlineLevel="0" collapsed="false">
      <c r="A11" s="6" t="s">
        <v>8</v>
      </c>
      <c r="B11" s="6" t="s">
        <v>9</v>
      </c>
      <c r="C11" s="6" t="s">
        <v>10</v>
      </c>
      <c r="D11" s="6"/>
      <c r="E11" s="6"/>
      <c r="F11" s="6"/>
      <c r="G11" s="6"/>
      <c r="H11" s="6"/>
    </row>
    <row r="12" customFormat="false" ht="22.35" hidden="false" customHeight="true" outlineLevel="0" collapsed="false">
      <c r="A12" s="7" t="s">
        <v>11</v>
      </c>
      <c r="B12" s="8" t="n">
        <f aca="false">04_Свод_ЛСР!C29</f>
        <v>128491483.83552</v>
      </c>
      <c r="C12" s="9" t="s">
        <v>12</v>
      </c>
      <c r="D12" s="9"/>
      <c r="E12" s="9"/>
      <c r="F12" s="9"/>
      <c r="G12" s="9"/>
      <c r="H12" s="9"/>
    </row>
    <row r="13" customFormat="false" ht="15" hidden="false" customHeight="true" outlineLevel="0" collapsed="false">
      <c r="A13" s="7" t="s">
        <v>13</v>
      </c>
      <c r="B13" s="8" t="n">
        <f aca="false">04_Свод_ЛСР!C25</f>
        <v>104976702.48</v>
      </c>
      <c r="C13" s="9" t="s">
        <v>14</v>
      </c>
      <c r="D13" s="9"/>
      <c r="E13" s="9"/>
      <c r="F13" s="9"/>
      <c r="G13" s="9"/>
      <c r="H13" s="9"/>
    </row>
    <row r="14" customFormat="false" ht="22.35" hidden="false" customHeight="true" outlineLevel="0" collapsed="false">
      <c r="A14" s="10" t="s">
        <v>15</v>
      </c>
      <c r="B14" s="11" t="n">
        <f aca="false">05_Блок_КС!F15</f>
        <v>64710398.29</v>
      </c>
      <c r="C14" s="12" t="s">
        <v>16</v>
      </c>
      <c r="D14" s="12"/>
      <c r="E14" s="12"/>
      <c r="F14" s="12"/>
      <c r="G14" s="12"/>
      <c r="H14" s="12"/>
    </row>
    <row r="15" customFormat="false" ht="15" hidden="false" customHeight="true" outlineLevel="0" collapsed="false">
      <c r="A15" s="10" t="s">
        <v>17</v>
      </c>
      <c r="B15" s="11" t="n">
        <f aca="false">04_Свод_ЛСР!C20</f>
        <v>890669.5</v>
      </c>
      <c r="C15" s="12" t="s">
        <v>18</v>
      </c>
      <c r="D15" s="12"/>
      <c r="E15" s="12"/>
      <c r="F15" s="12"/>
      <c r="G15" s="12"/>
      <c r="H15" s="12"/>
    </row>
    <row r="16" customFormat="false" ht="22.35" hidden="false" customHeight="true" outlineLevel="0" collapsed="false">
      <c r="A16" s="10" t="s">
        <v>19</v>
      </c>
      <c r="B16" s="11" t="n">
        <f aca="false">08_Пересчёт_2026!B15</f>
        <v>2141524.7306</v>
      </c>
      <c r="C16" s="12" t="s">
        <v>20</v>
      </c>
      <c r="D16" s="12"/>
      <c r="E16" s="12"/>
      <c r="F16" s="12"/>
      <c r="G16" s="12"/>
      <c r="H16" s="12"/>
    </row>
    <row r="17" customFormat="false" ht="15" hidden="false" customHeight="true" outlineLevel="0" collapsed="false">
      <c r="A17" s="7" t="s">
        <v>21</v>
      </c>
      <c r="B17" s="8" t="n">
        <v>1862206.22</v>
      </c>
      <c r="C17" s="9" t="s">
        <v>22</v>
      </c>
      <c r="D17" s="9"/>
      <c r="E17" s="9"/>
      <c r="F17" s="9"/>
      <c r="G17" s="9"/>
      <c r="H17" s="9"/>
    </row>
    <row r="18" customFormat="false" ht="22.35" hidden="false" customHeight="true" outlineLevel="0" collapsed="false">
      <c r="A18" s="7" t="s">
        <v>23</v>
      </c>
      <c r="B18" s="8" t="n">
        <v>2222036.29</v>
      </c>
      <c r="C18" s="9" t="s">
        <v>24</v>
      </c>
      <c r="D18" s="9"/>
      <c r="E18" s="9"/>
      <c r="F18" s="9"/>
      <c r="G18" s="9"/>
      <c r="H18" s="9"/>
    </row>
    <row r="19" customFormat="false" ht="15" hidden="false" customHeight="true" outlineLevel="0" collapsed="false">
      <c r="A19" s="7" t="s">
        <v>25</v>
      </c>
      <c r="B19" s="8" t="n">
        <f aca="false">07_НР_СП!B7</f>
        <v>40471970</v>
      </c>
      <c r="C19" s="9" t="s">
        <v>26</v>
      </c>
      <c r="D19" s="9"/>
      <c r="E19" s="9"/>
      <c r="F19" s="9"/>
      <c r="G19" s="9"/>
      <c r="H19" s="9"/>
    </row>
    <row r="21" customFormat="false" ht="15" hidden="false" customHeight="true" outlineLevel="0" collapsed="false">
      <c r="A21" s="3" t="s">
        <v>27</v>
      </c>
      <c r="B21" s="3"/>
      <c r="C21" s="3"/>
      <c r="D21" s="3"/>
      <c r="E21" s="3"/>
      <c r="F21" s="3"/>
      <c r="G21" s="3"/>
      <c r="H21" s="3"/>
    </row>
    <row r="22" customFormat="false" ht="27.75" hidden="false" customHeight="true" outlineLevel="0" collapsed="false">
      <c r="A22" s="6" t="s">
        <v>28</v>
      </c>
      <c r="B22" s="6" t="s">
        <v>29</v>
      </c>
      <c r="C22" s="6"/>
      <c r="D22" s="6"/>
      <c r="E22" s="6"/>
      <c r="F22" s="6"/>
      <c r="G22" s="6"/>
      <c r="H22" s="6"/>
    </row>
    <row r="23" customFormat="false" ht="15" hidden="false" customHeight="true" outlineLevel="0" collapsed="false">
      <c r="A23" s="13" t="s">
        <v>30</v>
      </c>
      <c r="B23" s="14" t="s">
        <v>31</v>
      </c>
      <c r="C23" s="14"/>
      <c r="D23" s="14"/>
      <c r="E23" s="14"/>
      <c r="F23" s="14"/>
      <c r="G23" s="14"/>
      <c r="H23" s="14"/>
    </row>
    <row r="24" customFormat="false" ht="15" hidden="false" customHeight="true" outlineLevel="0" collapsed="false">
      <c r="A24" s="13" t="s">
        <v>32</v>
      </c>
      <c r="B24" s="14" t="s">
        <v>33</v>
      </c>
      <c r="C24" s="14"/>
      <c r="D24" s="14"/>
      <c r="E24" s="14"/>
      <c r="F24" s="14"/>
      <c r="G24" s="14"/>
      <c r="H24" s="14"/>
    </row>
    <row r="25" customFormat="false" ht="15" hidden="false" customHeight="true" outlineLevel="0" collapsed="false">
      <c r="A25" s="13" t="s">
        <v>34</v>
      </c>
      <c r="B25" s="14" t="s">
        <v>35</v>
      </c>
      <c r="C25" s="14"/>
      <c r="D25" s="14"/>
      <c r="E25" s="14"/>
      <c r="F25" s="14"/>
      <c r="G25" s="14"/>
      <c r="H25" s="14"/>
    </row>
    <row r="26" customFormat="false" ht="15" hidden="false" customHeight="true" outlineLevel="0" collapsed="false">
      <c r="A26" s="13" t="s">
        <v>36</v>
      </c>
      <c r="B26" s="14" t="s">
        <v>37</v>
      </c>
      <c r="C26" s="14"/>
      <c r="D26" s="14"/>
      <c r="E26" s="14"/>
      <c r="F26" s="14"/>
      <c r="G26" s="14"/>
      <c r="H26" s="14"/>
    </row>
    <row r="27" customFormat="false" ht="15" hidden="false" customHeight="true" outlineLevel="0" collapsed="false">
      <c r="A27" s="13" t="s">
        <v>38</v>
      </c>
      <c r="B27" s="14" t="s">
        <v>39</v>
      </c>
      <c r="C27" s="14"/>
      <c r="D27" s="14"/>
      <c r="E27" s="14"/>
      <c r="F27" s="14"/>
      <c r="G27" s="14"/>
      <c r="H27" s="14"/>
    </row>
    <row r="28" customFormat="false" ht="15" hidden="false" customHeight="true" outlineLevel="0" collapsed="false">
      <c r="A28" s="13" t="s">
        <v>40</v>
      </c>
      <c r="B28" s="14" t="s">
        <v>41</v>
      </c>
      <c r="C28" s="14"/>
      <c r="D28" s="14"/>
      <c r="E28" s="14"/>
      <c r="F28" s="14"/>
      <c r="G28" s="14"/>
      <c r="H28" s="14"/>
    </row>
    <row r="29" customFormat="false" ht="15" hidden="false" customHeight="true" outlineLevel="0" collapsed="false">
      <c r="A29" s="13" t="s">
        <v>42</v>
      </c>
      <c r="B29" s="14" t="s">
        <v>43</v>
      </c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3" t="s">
        <v>44</v>
      </c>
      <c r="B30" s="14" t="s">
        <v>45</v>
      </c>
      <c r="C30" s="14"/>
      <c r="D30" s="14"/>
      <c r="E30" s="14"/>
      <c r="F30" s="14"/>
      <c r="G30" s="14"/>
      <c r="H30" s="14"/>
    </row>
    <row r="31" customFormat="false" ht="15" hidden="false" customHeight="true" outlineLevel="0" collapsed="false">
      <c r="A31" s="13" t="s">
        <v>46</v>
      </c>
      <c r="B31" s="14" t="s">
        <v>47</v>
      </c>
      <c r="C31" s="14"/>
      <c r="D31" s="14"/>
      <c r="E31" s="14"/>
      <c r="F31" s="14"/>
      <c r="G31" s="14"/>
      <c r="H31" s="14"/>
    </row>
    <row r="32" customFormat="false" ht="15" hidden="false" customHeight="true" outlineLevel="0" collapsed="false">
      <c r="A32" s="13" t="s">
        <v>48</v>
      </c>
      <c r="B32" s="14" t="s">
        <v>49</v>
      </c>
      <c r="C32" s="14"/>
      <c r="D32" s="14"/>
      <c r="E32" s="14"/>
      <c r="F32" s="14"/>
      <c r="G32" s="14"/>
      <c r="H32" s="14"/>
    </row>
    <row r="34" customFormat="false" ht="15" hidden="false" customHeight="false" outlineLevel="0" collapsed="false">
      <c r="A34" s="15" t="s">
        <v>50</v>
      </c>
      <c r="B34" s="15"/>
      <c r="C34" s="15"/>
      <c r="D34" s="15"/>
      <c r="E34" s="15"/>
      <c r="F34" s="15"/>
      <c r="G34" s="15"/>
      <c r="H34" s="15"/>
    </row>
  </sheetData>
  <mergeCells count="30">
    <mergeCell ref="A1:H1"/>
    <mergeCell ref="A2:H2"/>
    <mergeCell ref="A4:H4"/>
    <mergeCell ref="A5:H5"/>
    <mergeCell ref="A6:H6"/>
    <mergeCell ref="A7:H7"/>
    <mergeCell ref="A8:H8"/>
    <mergeCell ref="A10:H10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A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4"/>
  </cols>
  <sheetData>
    <row r="1" customFormat="false" ht="31.5" hidden="false" customHeight="true" outlineLevel="0" collapsed="false">
      <c r="A1" s="1" t="s">
        <v>51</v>
      </c>
      <c r="B1" s="1"/>
    </row>
    <row r="2" customFormat="false" ht="25.5" hidden="false" customHeight="true" outlineLevel="0" collapsed="false">
      <c r="A2" s="2" t="s">
        <v>52</v>
      </c>
      <c r="B2" s="2"/>
    </row>
    <row r="4" customFormat="false" ht="27.75" hidden="false" customHeight="true" outlineLevel="0" collapsed="false">
      <c r="A4" s="6" t="s">
        <v>53</v>
      </c>
      <c r="B4" s="6" t="s">
        <v>54</v>
      </c>
    </row>
    <row r="5" customFormat="false" ht="27.75" hidden="false" customHeight="true" outlineLevel="0" collapsed="false">
      <c r="A5" s="16" t="s">
        <v>55</v>
      </c>
      <c r="B5" s="17" t="s">
        <v>56</v>
      </c>
    </row>
    <row r="6" customFormat="false" ht="42" hidden="false" customHeight="true" outlineLevel="0" collapsed="false">
      <c r="A6" s="16" t="s">
        <v>57</v>
      </c>
      <c r="B6" s="17" t="s">
        <v>58</v>
      </c>
    </row>
    <row r="7" customFormat="false" ht="42" hidden="false" customHeight="true" outlineLevel="0" collapsed="false">
      <c r="A7" s="16" t="s">
        <v>59</v>
      </c>
      <c r="B7" s="17" t="s">
        <v>60</v>
      </c>
    </row>
    <row r="8" customFormat="false" ht="42" hidden="false" customHeight="true" outlineLevel="0" collapsed="false">
      <c r="A8" s="16" t="s">
        <v>61</v>
      </c>
      <c r="B8" s="17" t="s">
        <v>62</v>
      </c>
    </row>
    <row r="9" customFormat="false" ht="27.75" hidden="false" customHeight="true" outlineLevel="0" collapsed="false">
      <c r="A9" s="16" t="s">
        <v>63</v>
      </c>
      <c r="B9" s="17" t="s">
        <v>64</v>
      </c>
    </row>
    <row r="10" customFormat="false" ht="27.75" hidden="false" customHeight="true" outlineLevel="0" collapsed="false">
      <c r="A10" s="16" t="s">
        <v>65</v>
      </c>
      <c r="B10" s="17" t="s">
        <v>66</v>
      </c>
    </row>
    <row r="11" customFormat="false" ht="42" hidden="false" customHeight="true" outlineLevel="0" collapsed="false">
      <c r="A11" s="16" t="s">
        <v>67</v>
      </c>
      <c r="B11" s="17" t="s">
        <v>68</v>
      </c>
    </row>
    <row r="12" customFormat="false" ht="42" hidden="false" customHeight="true" outlineLevel="0" collapsed="false">
      <c r="A12" s="16" t="s">
        <v>69</v>
      </c>
      <c r="B12" s="17" t="s">
        <v>70</v>
      </c>
    </row>
    <row r="13" customFormat="false" ht="27.75" hidden="false" customHeight="true" outlineLevel="0" collapsed="false">
      <c r="A13" s="16" t="s">
        <v>71</v>
      </c>
      <c r="B13" s="17" t="s">
        <v>72</v>
      </c>
    </row>
    <row r="14" customFormat="false" ht="42" hidden="false" customHeight="true" outlineLevel="0" collapsed="false">
      <c r="A14" s="16" t="s">
        <v>73</v>
      </c>
      <c r="B14" s="17" t="s">
        <v>74</v>
      </c>
    </row>
    <row r="15" customFormat="false" ht="42" hidden="false" customHeight="true" outlineLevel="0" collapsed="false">
      <c r="A15" s="16" t="s">
        <v>75</v>
      </c>
      <c r="B15" s="17" t="s">
        <v>76</v>
      </c>
    </row>
    <row r="16" customFormat="false" ht="27.75" hidden="false" customHeight="true" outlineLevel="0" collapsed="false">
      <c r="A16" s="16" t="s">
        <v>77</v>
      </c>
      <c r="B16" s="17" t="s">
        <v>78</v>
      </c>
    </row>
    <row r="17" customFormat="false" ht="27.75" hidden="false" customHeight="true" outlineLevel="0" collapsed="false">
      <c r="A17" s="16" t="s">
        <v>79</v>
      </c>
      <c r="B17" s="17" t="s">
        <v>80</v>
      </c>
    </row>
    <row r="18" customFormat="false" ht="27.75" hidden="false" customHeight="true" outlineLevel="0" collapsed="false">
      <c r="A18" s="16" t="s">
        <v>81</v>
      </c>
      <c r="B18" s="17" t="s">
        <v>82</v>
      </c>
    </row>
    <row r="19" customFormat="false" ht="27.75" hidden="false" customHeight="true" outlineLevel="0" collapsed="false">
      <c r="A19" s="16" t="s">
        <v>83</v>
      </c>
      <c r="B19" s="17" t="s">
        <v>84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64"/>
  </cols>
  <sheetData>
    <row r="1" customFormat="false" ht="31.5" hidden="false" customHeight="true" outlineLevel="0" collapsed="false">
      <c r="A1" s="1" t="s">
        <v>85</v>
      </c>
      <c r="B1" s="1"/>
      <c r="C1" s="1"/>
      <c r="D1" s="1"/>
    </row>
    <row r="2" customFormat="false" ht="25.5" hidden="false" customHeight="true" outlineLevel="0" collapsed="false">
      <c r="A2" s="2" t="s">
        <v>86</v>
      </c>
      <c r="B2" s="2"/>
      <c r="C2" s="2"/>
      <c r="D2" s="2"/>
    </row>
    <row r="4" customFormat="false" ht="27.75" hidden="false" customHeight="true" outlineLevel="0" collapsed="false">
      <c r="A4" s="6" t="s">
        <v>87</v>
      </c>
      <c r="B4" s="6" t="s">
        <v>88</v>
      </c>
      <c r="C4" s="6" t="s">
        <v>89</v>
      </c>
      <c r="D4" s="6" t="s">
        <v>10</v>
      </c>
    </row>
    <row r="5" customFormat="false" ht="49.5" hidden="false" customHeight="true" outlineLevel="0" collapsed="false">
      <c r="A5" s="18" t="n">
        <v>1</v>
      </c>
      <c r="B5" s="17" t="s">
        <v>90</v>
      </c>
      <c r="C5" s="19" t="s">
        <v>91</v>
      </c>
      <c r="D5" s="20" t="s">
        <v>92</v>
      </c>
    </row>
    <row r="6" customFormat="false" ht="49.5" hidden="false" customHeight="true" outlineLevel="0" collapsed="false">
      <c r="A6" s="18" t="n">
        <v>2</v>
      </c>
      <c r="B6" s="17" t="s">
        <v>93</v>
      </c>
      <c r="C6" s="21" t="s">
        <v>94</v>
      </c>
      <c r="D6" s="20" t="s">
        <v>95</v>
      </c>
    </row>
    <row r="7" customFormat="false" ht="49.5" hidden="false" customHeight="true" outlineLevel="0" collapsed="false">
      <c r="A7" s="18" t="n">
        <v>3</v>
      </c>
      <c r="B7" s="17" t="s">
        <v>96</v>
      </c>
      <c r="C7" s="19" t="s">
        <v>97</v>
      </c>
      <c r="D7" s="20" t="s">
        <v>98</v>
      </c>
    </row>
    <row r="8" customFormat="false" ht="49.5" hidden="false" customHeight="true" outlineLevel="0" collapsed="false">
      <c r="A8" s="18" t="n">
        <v>4</v>
      </c>
      <c r="B8" s="17" t="s">
        <v>99</v>
      </c>
      <c r="C8" s="21" t="s">
        <v>94</v>
      </c>
      <c r="D8" s="20" t="s">
        <v>100</v>
      </c>
    </row>
    <row r="9" customFormat="false" ht="49.5" hidden="false" customHeight="true" outlineLevel="0" collapsed="false">
      <c r="A9" s="18" t="n">
        <v>5</v>
      </c>
      <c r="B9" s="17" t="s">
        <v>101</v>
      </c>
      <c r="C9" s="21" t="s">
        <v>94</v>
      </c>
      <c r="D9" s="20" t="s">
        <v>102</v>
      </c>
    </row>
    <row r="11" customFormat="false" ht="33.75" hidden="false" customHeight="true" outlineLevel="0" collapsed="false">
      <c r="A11" s="22" t="s">
        <v>103</v>
      </c>
      <c r="B11" s="22"/>
      <c r="C11" s="22"/>
      <c r="D11" s="22"/>
    </row>
  </sheetData>
  <mergeCells count="3">
    <mergeCell ref="A1:D1"/>
    <mergeCell ref="A2:D2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50"/>
  </cols>
  <sheetData>
    <row r="1" customFormat="false" ht="31.5" hidden="false" customHeight="true" outlineLevel="0" collapsed="false">
      <c r="A1" s="1" t="s">
        <v>104</v>
      </c>
      <c r="B1" s="1"/>
      <c r="C1" s="1"/>
      <c r="D1" s="1"/>
    </row>
    <row r="2" customFormat="false" ht="25.5" hidden="false" customHeight="true" outlineLevel="0" collapsed="false">
      <c r="A2" s="2" t="s">
        <v>105</v>
      </c>
      <c r="B2" s="2"/>
      <c r="C2" s="2"/>
      <c r="D2" s="2"/>
    </row>
    <row r="4" customFormat="false" ht="15" hidden="false" customHeight="true" outlineLevel="0" collapsed="false">
      <c r="A4" s="3" t="s">
        <v>106</v>
      </c>
      <c r="B4" s="3"/>
      <c r="C4" s="3"/>
      <c r="D4" s="3"/>
    </row>
    <row r="5" customFormat="false" ht="27.75" hidden="false" customHeight="true" outlineLevel="0" collapsed="false">
      <c r="A5" s="6" t="s">
        <v>107</v>
      </c>
      <c r="B5" s="6" t="s">
        <v>108</v>
      </c>
      <c r="C5" s="6" t="s">
        <v>109</v>
      </c>
      <c r="D5" s="6" t="s">
        <v>110</v>
      </c>
    </row>
    <row r="6" customFormat="false" ht="15" hidden="false" customHeight="false" outlineLevel="0" collapsed="false">
      <c r="A6" s="23" t="s">
        <v>111</v>
      </c>
      <c r="B6" s="24" t="s">
        <v>112</v>
      </c>
      <c r="C6" s="25" t="n">
        <v>14198884.54</v>
      </c>
      <c r="D6" s="20" t="s">
        <v>113</v>
      </c>
    </row>
    <row r="7" customFormat="false" ht="15" hidden="false" customHeight="false" outlineLevel="0" collapsed="false">
      <c r="A7" s="23" t="s">
        <v>114</v>
      </c>
      <c r="B7" s="24" t="s">
        <v>115</v>
      </c>
      <c r="C7" s="25" t="n">
        <v>89532565.11</v>
      </c>
      <c r="D7" s="20" t="s">
        <v>116</v>
      </c>
    </row>
    <row r="8" customFormat="false" ht="15" hidden="false" customHeight="false" outlineLevel="0" collapsed="false">
      <c r="A8" s="23" t="s">
        <v>117</v>
      </c>
      <c r="B8" s="24" t="s">
        <v>118</v>
      </c>
      <c r="C8" s="25" t="n">
        <v>890669.5</v>
      </c>
      <c r="D8" s="20" t="s">
        <v>119</v>
      </c>
    </row>
    <row r="9" customFormat="false" ht="15" hidden="false" customHeight="false" outlineLevel="0" collapsed="false">
      <c r="A9" s="23" t="s">
        <v>120</v>
      </c>
      <c r="B9" s="24" t="s">
        <v>121</v>
      </c>
      <c r="C9" s="25" t="n">
        <v>354583.33</v>
      </c>
      <c r="D9" s="20" t="s">
        <v>122</v>
      </c>
    </row>
    <row r="10" customFormat="false" ht="15" hidden="false" customHeight="false" outlineLevel="0" collapsed="false">
      <c r="A10" s="26" t="s">
        <v>123</v>
      </c>
      <c r="B10" s="27"/>
      <c r="C10" s="28" t="n">
        <f aca="false">SUM(C6:C9)</f>
        <v>104976702.48</v>
      </c>
      <c r="D10" s="29" t="s">
        <v>124</v>
      </c>
    </row>
    <row r="12" customFormat="false" ht="15" hidden="false" customHeight="true" outlineLevel="0" collapsed="false">
      <c r="A12" s="3" t="s">
        <v>125</v>
      </c>
      <c r="B12" s="3"/>
      <c r="C12" s="3"/>
      <c r="D12" s="3"/>
    </row>
    <row r="13" customFormat="false" ht="27.75" hidden="false" customHeight="true" outlineLevel="0" collapsed="false">
      <c r="A13" s="6" t="s">
        <v>126</v>
      </c>
      <c r="B13" s="6"/>
      <c r="C13" s="6" t="s">
        <v>127</v>
      </c>
      <c r="D13" s="6" t="s">
        <v>128</v>
      </c>
    </row>
    <row r="14" customFormat="false" ht="15" hidden="false" customHeight="true" outlineLevel="0" collapsed="false">
      <c r="A14" s="30" t="s">
        <v>129</v>
      </c>
      <c r="B14" s="30"/>
      <c r="C14" s="25" t="n">
        <v>11086178.75</v>
      </c>
      <c r="D14" s="20" t="s">
        <v>130</v>
      </c>
    </row>
    <row r="15" customFormat="false" ht="15" hidden="false" customHeight="true" outlineLevel="0" collapsed="false">
      <c r="A15" s="30" t="s">
        <v>131</v>
      </c>
      <c r="B15" s="30"/>
      <c r="C15" s="25" t="n">
        <v>2222036.29</v>
      </c>
      <c r="D15" s="20" t="s">
        <v>132</v>
      </c>
    </row>
    <row r="16" customFormat="false" ht="15" hidden="false" customHeight="true" outlineLevel="0" collapsed="false">
      <c r="A16" s="31" t="s">
        <v>133</v>
      </c>
      <c r="B16" s="31"/>
      <c r="C16" s="11" t="n">
        <v>890669.5</v>
      </c>
      <c r="D16" s="32" t="s">
        <v>134</v>
      </c>
    </row>
    <row r="17" customFormat="false" ht="15" hidden="false" customHeight="true" outlineLevel="0" collapsed="false">
      <c r="A17" s="33" t="s">
        <v>135</v>
      </c>
      <c r="B17" s="33"/>
      <c r="C17" s="8" t="n">
        <f aca="false">SUM(C14:C16)</f>
        <v>14198884.54</v>
      </c>
      <c r="D17" s="34" t="s">
        <v>136</v>
      </c>
    </row>
    <row r="19" customFormat="false" ht="15" hidden="false" customHeight="true" outlineLevel="0" collapsed="false">
      <c r="A19" s="3" t="s">
        <v>137</v>
      </c>
      <c r="B19" s="3"/>
      <c r="C19" s="3"/>
      <c r="D19" s="3"/>
    </row>
    <row r="20" customFormat="false" ht="15" hidden="false" customHeight="false" outlineLevel="0" collapsed="false">
      <c r="A20" s="10" t="s">
        <v>138</v>
      </c>
      <c r="B20" s="35"/>
      <c r="C20" s="36" t="n">
        <v>890669.5</v>
      </c>
      <c r="D20" s="32" t="s">
        <v>139</v>
      </c>
    </row>
    <row r="21" customFormat="false" ht="15" hidden="false" customHeight="false" outlineLevel="0" collapsed="false">
      <c r="A21" s="7" t="s">
        <v>140</v>
      </c>
      <c r="B21" s="7"/>
      <c r="C21" s="37" t="n">
        <f aca="false">C20*1.02*1.2</f>
        <v>1090179.468</v>
      </c>
      <c r="D21" s="20" t="s">
        <v>141</v>
      </c>
    </row>
    <row r="23" customFormat="false" ht="15" hidden="false" customHeight="true" outlineLevel="0" collapsed="false">
      <c r="A23" s="3" t="s">
        <v>142</v>
      </c>
      <c r="B23" s="3"/>
      <c r="C23" s="3"/>
      <c r="D23" s="3"/>
    </row>
    <row r="24" customFormat="false" ht="27.75" hidden="false" customHeight="true" outlineLevel="0" collapsed="false">
      <c r="A24" s="6" t="s">
        <v>143</v>
      </c>
      <c r="B24" s="6"/>
      <c r="C24" s="6" t="s">
        <v>127</v>
      </c>
      <c r="D24" s="6" t="s">
        <v>128</v>
      </c>
    </row>
    <row r="25" customFormat="false" ht="15" hidden="false" customHeight="true" outlineLevel="0" collapsed="false">
      <c r="A25" s="33" t="s">
        <v>144</v>
      </c>
      <c r="B25" s="33"/>
      <c r="C25" s="8" t="n">
        <f aca="false">C10</f>
        <v>104976702.48</v>
      </c>
      <c r="D25" s="20" t="s">
        <v>145</v>
      </c>
    </row>
    <row r="26" customFormat="false" ht="15" hidden="false" customHeight="true" outlineLevel="0" collapsed="false">
      <c r="A26" s="14" t="s">
        <v>146</v>
      </c>
      <c r="B26" s="14"/>
      <c r="C26" s="38" t="n">
        <f aca="false">C25*0.02</f>
        <v>2099534.0496</v>
      </c>
      <c r="D26" s="20" t="s">
        <v>147</v>
      </c>
    </row>
    <row r="27" customFormat="false" ht="15" hidden="false" customHeight="true" outlineLevel="0" collapsed="false">
      <c r="A27" s="33" t="s">
        <v>148</v>
      </c>
      <c r="B27" s="33"/>
      <c r="C27" s="8" t="n">
        <f aca="false">C25+C26</f>
        <v>107076236.5296</v>
      </c>
      <c r="D27" s="20"/>
    </row>
    <row r="28" customFormat="false" ht="15" hidden="false" customHeight="true" outlineLevel="0" collapsed="false">
      <c r="A28" s="14" t="s">
        <v>149</v>
      </c>
      <c r="B28" s="14"/>
      <c r="C28" s="38" t="n">
        <f aca="false">C27*0.2</f>
        <v>21415247.30592</v>
      </c>
      <c r="D28" s="20" t="s">
        <v>150</v>
      </c>
    </row>
    <row r="29" customFormat="false" ht="15" hidden="false" customHeight="true" outlineLevel="0" collapsed="false">
      <c r="A29" s="33" t="s">
        <v>151</v>
      </c>
      <c r="B29" s="33"/>
      <c r="C29" s="8" t="n">
        <f aca="false">C27+C28</f>
        <v>128491483.83552</v>
      </c>
      <c r="D29" s="20" t="s">
        <v>152</v>
      </c>
    </row>
  </sheetData>
  <mergeCells count="17">
    <mergeCell ref="A1:D1"/>
    <mergeCell ref="A2:D2"/>
    <mergeCell ref="A4:D4"/>
    <mergeCell ref="A12:D12"/>
    <mergeCell ref="A13:B13"/>
    <mergeCell ref="A14:B14"/>
    <mergeCell ref="A15:B15"/>
    <mergeCell ref="A16:B16"/>
    <mergeCell ref="A17:B17"/>
    <mergeCell ref="A19:D19"/>
    <mergeCell ref="A23:D23"/>
    <mergeCell ref="A24:B24"/>
    <mergeCell ref="A25:B25"/>
    <mergeCell ref="A26:B26"/>
    <mergeCell ref="A27:B27"/>
    <mergeCell ref="A28:B28"/>
    <mergeCell ref="A29:B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6" min="6" style="0" width="20"/>
  </cols>
  <sheetData>
    <row r="1" customFormat="false" ht="31.5" hidden="false" customHeight="true" outlineLevel="0" collapsed="false">
      <c r="A1" s="1" t="s">
        <v>153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154</v>
      </c>
      <c r="B2" s="2"/>
      <c r="C2" s="2"/>
      <c r="D2" s="2"/>
      <c r="E2" s="2"/>
      <c r="F2" s="2"/>
    </row>
    <row r="4" customFormat="false" ht="48" hidden="false" customHeight="true" outlineLevel="0" collapsed="false">
      <c r="A4" s="39" t="s">
        <v>155</v>
      </c>
      <c r="B4" s="39"/>
      <c r="C4" s="39"/>
      <c r="D4" s="39"/>
      <c r="E4" s="39"/>
      <c r="F4" s="39"/>
    </row>
    <row r="6" customFormat="false" ht="26.85" hidden="false" customHeight="true" outlineLevel="0" collapsed="false">
      <c r="A6" s="3" t="s">
        <v>156</v>
      </c>
      <c r="B6" s="3"/>
      <c r="C6" s="3"/>
      <c r="D6" s="3"/>
      <c r="E6" s="3"/>
      <c r="F6" s="3"/>
    </row>
    <row r="7" customFormat="false" ht="27.75" hidden="false" customHeight="true" outlineLevel="0" collapsed="false">
      <c r="A7" s="6" t="s">
        <v>157</v>
      </c>
      <c r="B7" s="6" t="s">
        <v>158</v>
      </c>
      <c r="C7" s="6" t="s">
        <v>159</v>
      </c>
      <c r="D7" s="6" t="s">
        <v>160</v>
      </c>
      <c r="E7" s="6"/>
      <c r="F7" s="6" t="s">
        <v>161</v>
      </c>
    </row>
    <row r="8" customFormat="false" ht="15" hidden="false" customHeight="false" outlineLevel="0" collapsed="false">
      <c r="A8" s="40" t="n">
        <v>61</v>
      </c>
      <c r="B8" s="41" t="s">
        <v>162</v>
      </c>
      <c r="C8" s="40" t="s">
        <v>163</v>
      </c>
      <c r="D8" s="42" t="n">
        <v>15.24</v>
      </c>
      <c r="E8" s="35"/>
      <c r="F8" s="43" t="n">
        <v>21383323.11</v>
      </c>
    </row>
    <row r="9" customFormat="false" ht="15" hidden="false" customHeight="false" outlineLevel="0" collapsed="false">
      <c r="A9" s="40" t="n">
        <v>62</v>
      </c>
      <c r="B9" s="41" t="s">
        <v>164</v>
      </c>
      <c r="C9" s="40" t="s">
        <v>163</v>
      </c>
      <c r="D9" s="42" t="n">
        <v>30.48</v>
      </c>
      <c r="E9" s="35"/>
      <c r="F9" s="43" t="n">
        <v>12215272.72</v>
      </c>
    </row>
    <row r="10" customFormat="false" ht="15" hidden="false" customHeight="false" outlineLevel="0" collapsed="false">
      <c r="A10" s="40" t="n">
        <v>63</v>
      </c>
      <c r="B10" s="41" t="s">
        <v>165</v>
      </c>
      <c r="C10" s="40" t="s">
        <v>163</v>
      </c>
      <c r="D10" s="42" t="n">
        <v>15.24</v>
      </c>
      <c r="E10" s="35"/>
      <c r="F10" s="43" t="n">
        <v>1403436.17</v>
      </c>
    </row>
    <row r="11" customFormat="false" ht="15" hidden="false" customHeight="false" outlineLevel="0" collapsed="false">
      <c r="A11" s="40" t="n">
        <v>64</v>
      </c>
      <c r="B11" s="41" t="s">
        <v>166</v>
      </c>
      <c r="C11" s="40" t="s">
        <v>163</v>
      </c>
      <c r="D11" s="42" t="n">
        <v>45.72</v>
      </c>
      <c r="E11" s="35"/>
      <c r="F11" s="43" t="n">
        <v>9910041.25</v>
      </c>
    </row>
    <row r="12" customFormat="false" ht="15" hidden="false" customHeight="false" outlineLevel="0" collapsed="false">
      <c r="A12" s="40" t="n">
        <v>65</v>
      </c>
      <c r="B12" s="41" t="s">
        <v>167</v>
      </c>
      <c r="C12" s="40" t="s">
        <v>163</v>
      </c>
      <c r="D12" s="42" t="n">
        <v>15.24</v>
      </c>
      <c r="E12" s="35"/>
      <c r="F12" s="43" t="n">
        <v>3282293.74</v>
      </c>
    </row>
    <row r="13" customFormat="false" ht="15" hidden="false" customHeight="false" outlineLevel="0" collapsed="false">
      <c r="A13" s="40" t="n">
        <v>66</v>
      </c>
      <c r="B13" s="41" t="s">
        <v>168</v>
      </c>
      <c r="C13" s="40" t="s">
        <v>163</v>
      </c>
      <c r="D13" s="42" t="n">
        <v>15.24</v>
      </c>
      <c r="E13" s="35"/>
      <c r="F13" s="43" t="n">
        <v>3302642.98</v>
      </c>
    </row>
    <row r="14" customFormat="false" ht="15" hidden="false" customHeight="false" outlineLevel="0" collapsed="false">
      <c r="A14" s="40" t="n">
        <v>67</v>
      </c>
      <c r="B14" s="41" t="s">
        <v>166</v>
      </c>
      <c r="C14" s="40" t="s">
        <v>163</v>
      </c>
      <c r="D14" s="42" t="n">
        <v>60.96</v>
      </c>
      <c r="E14" s="35"/>
      <c r="F14" s="43" t="n">
        <v>13213388.32</v>
      </c>
    </row>
    <row r="15" customFormat="false" ht="15" hidden="false" customHeight="true" outlineLevel="0" collapsed="false">
      <c r="A15" s="44" t="s">
        <v>169</v>
      </c>
      <c r="B15" s="44"/>
      <c r="C15" s="44"/>
      <c r="D15" s="45" t="n">
        <f aca="false">SUM(D8:D14)</f>
        <v>198.12</v>
      </c>
      <c r="E15" s="21" t="s">
        <v>163</v>
      </c>
      <c r="F15" s="36" t="n">
        <f aca="false">SUM(F8:F14)</f>
        <v>64710398.29</v>
      </c>
    </row>
    <row r="16" customFormat="false" ht="15" hidden="false" customHeight="true" outlineLevel="0" collapsed="false">
      <c r="A16" s="46" t="s">
        <v>170</v>
      </c>
      <c r="B16" s="46"/>
      <c r="C16" s="46"/>
      <c r="F16" s="47" t="n">
        <v>16257459.74</v>
      </c>
    </row>
    <row r="17" customFormat="false" ht="15" hidden="false" customHeight="true" outlineLevel="0" collapsed="false">
      <c r="A17" s="46" t="s">
        <v>171</v>
      </c>
      <c r="B17" s="46"/>
      <c r="C17" s="46"/>
      <c r="F17" s="47" t="n">
        <v>7700901.98</v>
      </c>
    </row>
    <row r="19" customFormat="false" ht="26.85" hidden="false" customHeight="true" outlineLevel="0" collapsed="false">
      <c r="A19" s="3" t="s">
        <v>172</v>
      </c>
      <c r="B19" s="3"/>
      <c r="C19" s="3"/>
      <c r="D19" s="3"/>
      <c r="E19" s="3"/>
      <c r="F19" s="3"/>
    </row>
    <row r="20" customFormat="false" ht="27.75" hidden="false" customHeight="true" outlineLevel="0" collapsed="false">
      <c r="A20" s="6" t="s">
        <v>157</v>
      </c>
      <c r="B20" s="6" t="s">
        <v>158</v>
      </c>
      <c r="C20" s="6" t="s">
        <v>159</v>
      </c>
      <c r="D20" s="6" t="s">
        <v>160</v>
      </c>
      <c r="E20" s="6"/>
      <c r="F20" s="6" t="s">
        <v>161</v>
      </c>
    </row>
    <row r="21" customFormat="false" ht="15" hidden="false" customHeight="false" outlineLevel="0" collapsed="false">
      <c r="A21" s="48" t="n">
        <v>49</v>
      </c>
      <c r="B21" s="49" t="s">
        <v>164</v>
      </c>
      <c r="C21" s="48" t="s">
        <v>163</v>
      </c>
      <c r="D21" s="50" t="n">
        <v>0.72</v>
      </c>
      <c r="E21" s="51"/>
      <c r="F21" s="52" t="n">
        <v>288549.74</v>
      </c>
    </row>
    <row r="22" customFormat="false" ht="15" hidden="false" customHeight="false" outlineLevel="0" collapsed="false">
      <c r="A22" s="48" t="n">
        <v>50</v>
      </c>
      <c r="B22" s="49" t="s">
        <v>165</v>
      </c>
      <c r="C22" s="48" t="s">
        <v>163</v>
      </c>
      <c r="D22" s="50" t="n">
        <v>0.12</v>
      </c>
      <c r="E22" s="51"/>
      <c r="F22" s="52" t="n">
        <v>11050.69</v>
      </c>
    </row>
    <row r="23" customFormat="false" ht="15" hidden="false" customHeight="false" outlineLevel="0" collapsed="false">
      <c r="A23" s="48" t="n">
        <v>51</v>
      </c>
      <c r="B23" s="49" t="s">
        <v>166</v>
      </c>
      <c r="C23" s="48" t="s">
        <v>163</v>
      </c>
      <c r="D23" s="50" t="n">
        <v>0.36</v>
      </c>
      <c r="E23" s="51"/>
      <c r="F23" s="52" t="n">
        <v>78031.82</v>
      </c>
    </row>
    <row r="24" customFormat="false" ht="15" hidden="false" customHeight="false" outlineLevel="0" collapsed="false">
      <c r="A24" s="48" t="n">
        <v>52</v>
      </c>
      <c r="B24" s="49" t="s">
        <v>167</v>
      </c>
      <c r="C24" s="48" t="s">
        <v>163</v>
      </c>
      <c r="D24" s="50" t="n">
        <v>0.12</v>
      </c>
      <c r="E24" s="51"/>
      <c r="F24" s="52" t="n">
        <v>25844.84</v>
      </c>
    </row>
    <row r="25" customFormat="false" ht="15" hidden="false" customHeight="false" outlineLevel="0" collapsed="false">
      <c r="A25" s="48" t="n">
        <v>53</v>
      </c>
      <c r="B25" s="49" t="s">
        <v>168</v>
      </c>
      <c r="C25" s="48" t="s">
        <v>163</v>
      </c>
      <c r="D25" s="50" t="n">
        <v>0.12</v>
      </c>
      <c r="E25" s="51"/>
      <c r="F25" s="52" t="n">
        <v>26005.07</v>
      </c>
    </row>
    <row r="26" customFormat="false" ht="15" hidden="false" customHeight="false" outlineLevel="0" collapsed="false">
      <c r="A26" s="48" t="n">
        <v>54</v>
      </c>
      <c r="B26" s="49" t="s">
        <v>166</v>
      </c>
      <c r="C26" s="48" t="s">
        <v>163</v>
      </c>
      <c r="D26" s="50" t="n">
        <v>0.48</v>
      </c>
      <c r="E26" s="51"/>
      <c r="F26" s="52" t="n">
        <v>104042.45</v>
      </c>
    </row>
    <row r="27" customFormat="false" ht="15" hidden="false" customHeight="false" outlineLevel="0" collapsed="false">
      <c r="A27" s="48" t="n">
        <v>55</v>
      </c>
      <c r="B27" s="49" t="s">
        <v>173</v>
      </c>
      <c r="C27" s="48" t="s">
        <v>174</v>
      </c>
      <c r="D27" s="50" t="n">
        <v>3</v>
      </c>
      <c r="E27" s="51"/>
      <c r="F27" s="52" t="n">
        <v>776204.69</v>
      </c>
    </row>
    <row r="28" customFormat="false" ht="15" hidden="false" customHeight="true" outlineLevel="0" collapsed="false">
      <c r="A28" s="53" t="s">
        <v>175</v>
      </c>
      <c r="B28" s="53"/>
      <c r="C28" s="53"/>
      <c r="D28" s="54"/>
      <c r="E28" s="54"/>
      <c r="F28" s="55" t="n">
        <f aca="false">SUM(F21:F27)</f>
        <v>1309729.3</v>
      </c>
    </row>
    <row r="30" customFormat="false" ht="26.85" hidden="false" customHeight="true" outlineLevel="0" collapsed="false">
      <c r="A30" s="3" t="s">
        <v>176</v>
      </c>
      <c r="B30" s="3"/>
      <c r="C30" s="3"/>
      <c r="D30" s="3"/>
      <c r="E30" s="3"/>
      <c r="F30" s="3"/>
    </row>
    <row r="31" customFormat="false" ht="27.75" hidden="false" customHeight="true" outlineLevel="0" collapsed="false">
      <c r="A31" s="6" t="s">
        <v>157</v>
      </c>
      <c r="B31" s="6" t="s">
        <v>177</v>
      </c>
      <c r="C31" s="6" t="s">
        <v>159</v>
      </c>
      <c r="D31" s="6" t="s">
        <v>160</v>
      </c>
      <c r="E31" s="6"/>
      <c r="F31" s="6" t="s">
        <v>109</v>
      </c>
    </row>
    <row r="32" customFormat="false" ht="15" hidden="false" customHeight="false" outlineLevel="0" collapsed="false">
      <c r="A32" s="56" t="n">
        <v>44</v>
      </c>
      <c r="B32" s="7" t="s">
        <v>178</v>
      </c>
      <c r="C32" s="56" t="s">
        <v>174</v>
      </c>
      <c r="D32" s="56" t="n">
        <v>3</v>
      </c>
      <c r="E32" s="7"/>
      <c r="F32" s="38" t="n">
        <v>14965.13</v>
      </c>
    </row>
    <row r="33" customFormat="false" ht="15" hidden="false" customHeight="false" outlineLevel="0" collapsed="false">
      <c r="A33" s="56" t="n">
        <v>56</v>
      </c>
      <c r="B33" s="7" t="s">
        <v>178</v>
      </c>
      <c r="C33" s="56" t="s">
        <v>174</v>
      </c>
      <c r="D33" s="56" t="n">
        <v>127</v>
      </c>
      <c r="E33" s="7"/>
      <c r="F33" s="38" t="n">
        <v>633523.97</v>
      </c>
    </row>
    <row r="34" customFormat="false" ht="15" hidden="false" customHeight="true" outlineLevel="0" collapsed="false">
      <c r="A34" s="13" t="s">
        <v>179</v>
      </c>
      <c r="B34" s="13"/>
      <c r="C34" s="13"/>
      <c r="F34" s="8" t="n">
        <f aca="false">SUM(F32:F33)</f>
        <v>648489.1</v>
      </c>
    </row>
    <row r="36" customFormat="false" ht="63.75" hidden="false" customHeight="true" outlineLevel="0" collapsed="false">
      <c r="A36" s="5" t="s">
        <v>180</v>
      </c>
      <c r="B36" s="5"/>
      <c r="C36" s="5"/>
      <c r="D36" s="5"/>
      <c r="E36" s="5"/>
      <c r="F36" s="5"/>
    </row>
  </sheetData>
  <mergeCells count="12">
    <mergeCell ref="A1:F1"/>
    <mergeCell ref="A2:F2"/>
    <mergeCell ref="A4:F4"/>
    <mergeCell ref="A6:F6"/>
    <mergeCell ref="A15:C15"/>
    <mergeCell ref="A16:C16"/>
    <mergeCell ref="A17:C17"/>
    <mergeCell ref="A19:F19"/>
    <mergeCell ref="A28:C28"/>
    <mergeCell ref="A30:F30"/>
    <mergeCell ref="A34:C34"/>
    <mergeCell ref="A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2"/>
    <col collapsed="false" customWidth="true" hidden="false" outlineLevel="0" max="4" min="4" style="0" width="44"/>
  </cols>
  <sheetData>
    <row r="1" customFormat="false" ht="31.5" hidden="false" customHeight="true" outlineLevel="0" collapsed="false">
      <c r="A1" s="1" t="s">
        <v>181</v>
      </c>
      <c r="B1" s="1"/>
      <c r="C1" s="1"/>
      <c r="D1" s="1"/>
    </row>
    <row r="2" customFormat="false" ht="25.5" hidden="false" customHeight="true" outlineLevel="0" collapsed="false">
      <c r="A2" s="2" t="s">
        <v>182</v>
      </c>
      <c r="B2" s="2"/>
      <c r="C2" s="2"/>
      <c r="D2" s="2"/>
    </row>
    <row r="4" customFormat="false" ht="15" hidden="false" customHeight="true" outlineLevel="0" collapsed="false">
      <c r="A4" s="3" t="s">
        <v>183</v>
      </c>
      <c r="B4" s="3"/>
      <c r="C4" s="3"/>
      <c r="D4" s="3"/>
    </row>
    <row r="5" customFormat="false" ht="27.75" hidden="false" customHeight="true" outlineLevel="0" collapsed="false">
      <c r="A5" s="6" t="s">
        <v>184</v>
      </c>
      <c r="B5" s="6" t="s">
        <v>185</v>
      </c>
      <c r="C5" s="6"/>
      <c r="D5" s="6" t="s">
        <v>10</v>
      </c>
    </row>
    <row r="6" customFormat="false" ht="15" hidden="false" customHeight="false" outlineLevel="0" collapsed="false">
      <c r="A6" s="57" t="s">
        <v>186</v>
      </c>
      <c r="B6" s="58" t="n">
        <v>1862206.22</v>
      </c>
      <c r="C6" s="58"/>
      <c r="D6" s="20" t="s">
        <v>187</v>
      </c>
    </row>
    <row r="7" customFormat="false" ht="15" hidden="false" customHeight="false" outlineLevel="0" collapsed="false">
      <c r="A7" s="57" t="s">
        <v>188</v>
      </c>
      <c r="B7" s="58" t="n">
        <v>2222036.29</v>
      </c>
      <c r="C7" s="58"/>
      <c r="D7" s="20" t="s">
        <v>189</v>
      </c>
    </row>
    <row r="8" customFormat="false" ht="15" hidden="false" customHeight="false" outlineLevel="0" collapsed="false">
      <c r="A8" s="57" t="s">
        <v>190</v>
      </c>
      <c r="B8" s="58" t="n">
        <v>1386844.61</v>
      </c>
      <c r="C8" s="58"/>
      <c r="D8" s="20" t="s">
        <v>191</v>
      </c>
    </row>
    <row r="10" customFormat="false" ht="15" hidden="false" customHeight="true" outlineLevel="0" collapsed="false">
      <c r="A10" s="3" t="s">
        <v>192</v>
      </c>
      <c r="B10" s="3"/>
      <c r="C10" s="3"/>
      <c r="D10" s="3"/>
    </row>
    <row r="11" customFormat="false" ht="27.75" hidden="false" customHeight="true" outlineLevel="0" collapsed="false">
      <c r="A11" s="6" t="s">
        <v>193</v>
      </c>
      <c r="B11" s="6" t="s">
        <v>194</v>
      </c>
      <c r="C11" s="6" t="s">
        <v>195</v>
      </c>
      <c r="D11" s="6" t="s">
        <v>89</v>
      </c>
    </row>
    <row r="12" customFormat="false" ht="30" hidden="false" customHeight="true" outlineLevel="0" collapsed="false">
      <c r="A12" s="17" t="s">
        <v>196</v>
      </c>
      <c r="B12" s="56" t="s">
        <v>197</v>
      </c>
      <c r="C12" s="56" t="s">
        <v>198</v>
      </c>
      <c r="D12" s="32" t="s">
        <v>199</v>
      </c>
    </row>
    <row r="13" customFormat="false" ht="30" hidden="false" customHeight="true" outlineLevel="0" collapsed="false">
      <c r="A13" s="17" t="s">
        <v>200</v>
      </c>
      <c r="B13" s="56" t="s">
        <v>201</v>
      </c>
      <c r="C13" s="56" t="s">
        <v>202</v>
      </c>
      <c r="D13" s="32" t="s">
        <v>203</v>
      </c>
    </row>
    <row r="14" customFormat="false" ht="30" hidden="false" customHeight="true" outlineLevel="0" collapsed="false">
      <c r="A14" s="17" t="s">
        <v>204</v>
      </c>
      <c r="B14" s="56" t="s">
        <v>205</v>
      </c>
      <c r="C14" s="56" t="s">
        <v>202</v>
      </c>
      <c r="D14" s="32" t="s">
        <v>203</v>
      </c>
    </row>
    <row r="15" customFormat="false" ht="30" hidden="false" customHeight="true" outlineLevel="0" collapsed="false">
      <c r="A15" s="17" t="s">
        <v>206</v>
      </c>
      <c r="B15" s="56" t="s">
        <v>207</v>
      </c>
      <c r="C15" s="56" t="s">
        <v>208</v>
      </c>
      <c r="D15" s="32" t="s">
        <v>203</v>
      </c>
    </row>
    <row r="16" customFormat="false" ht="30" hidden="false" customHeight="true" outlineLevel="0" collapsed="false">
      <c r="A16" s="17" t="s">
        <v>209</v>
      </c>
      <c r="B16" s="56" t="s">
        <v>210</v>
      </c>
      <c r="C16" s="56" t="s">
        <v>208</v>
      </c>
      <c r="D16" s="32" t="s">
        <v>203</v>
      </c>
    </row>
    <row r="17" customFormat="false" ht="30" hidden="false" customHeight="true" outlineLevel="0" collapsed="false">
      <c r="A17" s="17" t="s">
        <v>211</v>
      </c>
      <c r="B17" s="56" t="s">
        <v>212</v>
      </c>
      <c r="C17" s="56" t="s">
        <v>208</v>
      </c>
      <c r="D17" s="32" t="s">
        <v>203</v>
      </c>
    </row>
    <row r="18" customFormat="false" ht="30" hidden="false" customHeight="true" outlineLevel="0" collapsed="false">
      <c r="A18" s="17" t="s">
        <v>213</v>
      </c>
      <c r="B18" s="56" t="s">
        <v>214</v>
      </c>
      <c r="C18" s="56" t="s">
        <v>215</v>
      </c>
      <c r="D18" s="59" t="s">
        <v>216</v>
      </c>
    </row>
    <row r="20" customFormat="false" ht="48" hidden="false" customHeight="true" outlineLevel="0" collapsed="false">
      <c r="A20" s="5" t="s">
        <v>217</v>
      </c>
      <c r="B20" s="5"/>
      <c r="C20" s="5"/>
      <c r="D20" s="5"/>
    </row>
  </sheetData>
  <mergeCells count="9">
    <mergeCell ref="A1:D1"/>
    <mergeCell ref="A2:D2"/>
    <mergeCell ref="A4:D4"/>
    <mergeCell ref="B5:C5"/>
    <mergeCell ref="B6:C6"/>
    <mergeCell ref="B7:C7"/>
    <mergeCell ref="B8:C8"/>
    <mergeCell ref="A10:D10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44"/>
  </cols>
  <sheetData>
    <row r="1" customFormat="false" ht="31.5" hidden="false" customHeight="true" outlineLevel="0" collapsed="false">
      <c r="A1" s="1" t="s">
        <v>218</v>
      </c>
      <c r="B1" s="1"/>
      <c r="C1" s="1"/>
      <c r="D1" s="1"/>
    </row>
    <row r="2" customFormat="false" ht="25.5" hidden="false" customHeight="true" outlineLevel="0" collapsed="false">
      <c r="A2" s="2" t="s">
        <v>219</v>
      </c>
      <c r="B2" s="2"/>
      <c r="C2" s="2"/>
      <c r="D2" s="2"/>
    </row>
    <row r="4" customFormat="false" ht="27.75" hidden="false" customHeight="true" outlineLevel="0" collapsed="false">
      <c r="A4" s="6" t="s">
        <v>8</v>
      </c>
      <c r="B4" s="6" t="s">
        <v>127</v>
      </c>
      <c r="C4" s="6" t="s">
        <v>220</v>
      </c>
      <c r="D4" s="6" t="s">
        <v>10</v>
      </c>
    </row>
    <row r="5" customFormat="false" ht="15" hidden="false" customHeight="false" outlineLevel="0" collapsed="false">
      <c r="A5" s="23" t="s">
        <v>221</v>
      </c>
      <c r="B5" s="25" t="n">
        <v>26958200</v>
      </c>
      <c r="C5" s="7"/>
      <c r="D5" s="20" t="s">
        <v>222</v>
      </c>
    </row>
    <row r="6" customFormat="false" ht="15" hidden="false" customHeight="false" outlineLevel="0" collapsed="false">
      <c r="A6" s="23" t="s">
        <v>223</v>
      </c>
      <c r="B6" s="25" t="n">
        <v>13513770</v>
      </c>
      <c r="C6" s="7"/>
      <c r="D6" s="20" t="s">
        <v>224</v>
      </c>
    </row>
    <row r="7" customFormat="false" ht="15" hidden="false" customHeight="false" outlineLevel="0" collapsed="false">
      <c r="A7" s="26" t="s">
        <v>225</v>
      </c>
      <c r="B7" s="28" t="n">
        <f aca="false">B5+B6</f>
        <v>40471970</v>
      </c>
      <c r="C7" s="27"/>
      <c r="D7" s="60" t="s">
        <v>226</v>
      </c>
    </row>
    <row r="9" customFormat="false" ht="15" hidden="false" customHeight="true" outlineLevel="0" collapsed="false">
      <c r="A9" s="3" t="s">
        <v>227</v>
      </c>
      <c r="B9" s="3"/>
      <c r="C9" s="3"/>
      <c r="D9" s="3"/>
    </row>
    <row r="10" customFormat="false" ht="15" hidden="false" customHeight="false" outlineLevel="0" collapsed="false">
      <c r="A10" s="7" t="s">
        <v>228</v>
      </c>
      <c r="B10" s="61" t="n">
        <v>16257459.74</v>
      </c>
    </row>
    <row r="11" customFormat="false" ht="15" hidden="false" customHeight="false" outlineLevel="0" collapsed="false">
      <c r="A11" s="7" t="s">
        <v>229</v>
      </c>
      <c r="B11" s="61" t="n">
        <v>7700901.98</v>
      </c>
    </row>
    <row r="12" customFormat="false" ht="15" hidden="false" customHeight="false" outlineLevel="0" collapsed="false">
      <c r="A12" s="44" t="s">
        <v>230</v>
      </c>
      <c r="B12" s="36" t="n">
        <f aca="false">B10+B11</f>
        <v>23958361.72</v>
      </c>
      <c r="C12" s="62" t="n">
        <f aca="false">B12/B7</f>
        <v>0.591974191520699</v>
      </c>
      <c r="D12" s="32" t="s">
        <v>231</v>
      </c>
    </row>
    <row r="13" customFormat="false" ht="15" hidden="false" customHeight="false" outlineLevel="0" collapsed="false">
      <c r="A13" s="53" t="s">
        <v>232</v>
      </c>
      <c r="B13" s="55" t="n">
        <f aca="false">B7-B12</f>
        <v>16513608.28</v>
      </c>
      <c r="C13" s="54"/>
      <c r="D13" s="63" t="s">
        <v>233</v>
      </c>
    </row>
    <row r="15" customFormat="false" ht="55.5" hidden="false" customHeight="true" outlineLevel="0" collapsed="false">
      <c r="A15" s="5" t="s">
        <v>234</v>
      </c>
      <c r="B15" s="5"/>
      <c r="C15" s="5"/>
      <c r="D15" s="5"/>
    </row>
  </sheetData>
  <mergeCells count="4">
    <mergeCell ref="A1:D1"/>
    <mergeCell ref="A2:D2"/>
    <mergeCell ref="A9:D9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48"/>
  </cols>
  <sheetData>
    <row r="1" customFormat="false" ht="31.5" hidden="false" customHeight="true" outlineLevel="0" collapsed="false">
      <c r="A1" s="1" t="s">
        <v>235</v>
      </c>
      <c r="B1" s="1"/>
      <c r="C1" s="1"/>
      <c r="D1" s="1"/>
    </row>
    <row r="2" customFormat="false" ht="25.5" hidden="false" customHeight="true" outlineLevel="0" collapsed="false">
      <c r="A2" s="2" t="s">
        <v>236</v>
      </c>
      <c r="B2" s="2"/>
      <c r="C2" s="2"/>
      <c r="D2" s="2"/>
    </row>
    <row r="4" customFormat="false" ht="15" hidden="false" customHeight="true" outlineLevel="0" collapsed="false">
      <c r="A4" s="3" t="s">
        <v>237</v>
      </c>
      <c r="B4" s="3"/>
      <c r="C4" s="3"/>
      <c r="D4" s="3"/>
    </row>
    <row r="5" customFormat="false" ht="27.75" hidden="false" customHeight="true" outlineLevel="0" collapsed="false">
      <c r="A5" s="6" t="s">
        <v>53</v>
      </c>
      <c r="B5" s="6" t="s">
        <v>54</v>
      </c>
      <c r="C5" s="6"/>
      <c r="D5" s="6" t="s">
        <v>238</v>
      </c>
    </row>
    <row r="6" customFormat="false" ht="15" hidden="false" customHeight="false" outlineLevel="0" collapsed="false">
      <c r="A6" s="7" t="s">
        <v>239</v>
      </c>
      <c r="B6" s="58" t="n">
        <v>100630000</v>
      </c>
      <c r="C6" s="58"/>
      <c r="D6" s="20" t="s">
        <v>240</v>
      </c>
    </row>
    <row r="7" customFormat="false" ht="37.3" hidden="false" customHeight="false" outlineLevel="0" collapsed="false">
      <c r="A7" s="7" t="s">
        <v>241</v>
      </c>
      <c r="B7" s="64" t="n">
        <v>1.05</v>
      </c>
      <c r="C7" s="64"/>
      <c r="D7" s="20" t="s">
        <v>242</v>
      </c>
    </row>
    <row r="8" customFormat="false" ht="15" hidden="false" customHeight="false" outlineLevel="0" collapsed="false">
      <c r="A8" s="13" t="s">
        <v>243</v>
      </c>
      <c r="B8" s="65" t="n">
        <f aca="false">B6*(B7-1)</f>
        <v>5031500.00000001</v>
      </c>
      <c r="C8" s="65"/>
      <c r="D8" s="20" t="s">
        <v>244</v>
      </c>
    </row>
    <row r="10" customFormat="false" ht="15" hidden="false" customHeight="true" outlineLevel="0" collapsed="false">
      <c r="A10" s="3" t="s">
        <v>245</v>
      </c>
      <c r="B10" s="3"/>
      <c r="C10" s="3"/>
      <c r="D10" s="3"/>
    </row>
    <row r="11" customFormat="false" ht="27.75" hidden="false" customHeight="true" outlineLevel="0" collapsed="false">
      <c r="A11" s="6" t="s">
        <v>53</v>
      </c>
      <c r="B11" s="6" t="s">
        <v>54</v>
      </c>
      <c r="C11" s="6"/>
      <c r="D11" s="6" t="s">
        <v>10</v>
      </c>
    </row>
    <row r="12" customFormat="false" ht="15" hidden="false" customHeight="false" outlineLevel="0" collapsed="false">
      <c r="A12" s="7" t="s">
        <v>246</v>
      </c>
      <c r="B12" s="58" t="n">
        <v>107076236.53</v>
      </c>
      <c r="C12" s="58"/>
    </row>
    <row r="13" customFormat="false" ht="15" hidden="false" customHeight="false" outlineLevel="0" collapsed="false">
      <c r="A13" s="7" t="s">
        <v>247</v>
      </c>
      <c r="B13" s="66" t="n">
        <f aca="false">B12*0.2</f>
        <v>21415247.306</v>
      </c>
      <c r="C13" s="66"/>
    </row>
    <row r="14" customFormat="false" ht="15" hidden="false" customHeight="false" outlineLevel="0" collapsed="false">
      <c r="A14" s="7" t="s">
        <v>248</v>
      </c>
      <c r="B14" s="66" t="n">
        <f aca="false">B12*0.22</f>
        <v>23556772.0366</v>
      </c>
      <c r="C14" s="66"/>
    </row>
    <row r="15" customFormat="false" ht="15" hidden="false" customHeight="false" outlineLevel="0" collapsed="false">
      <c r="A15" s="44" t="s">
        <v>249</v>
      </c>
      <c r="B15" s="67" t="n">
        <f aca="false">B12*(0.22-0.2)</f>
        <v>2141524.7306</v>
      </c>
      <c r="C15" s="67"/>
      <c r="D15" s="32" t="s">
        <v>250</v>
      </c>
    </row>
  </sheetData>
  <mergeCells count="13">
    <mergeCell ref="A1:D1"/>
    <mergeCell ref="A2:D2"/>
    <mergeCell ref="A4:D4"/>
    <mergeCell ref="B5:C5"/>
    <mergeCell ref="B6:C6"/>
    <mergeCell ref="B7:C7"/>
    <mergeCell ref="B8:C8"/>
    <mergeCell ref="A10:D10"/>
    <mergeCell ref="B11:C11"/>
    <mergeCell ref="B12:C12"/>
    <mergeCell ref="B13:C13"/>
    <mergeCell ref="B14:C14"/>
    <mergeCell ref="B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0"/>
    <col collapsed="false" customWidth="true" hidden="false" outlineLevel="0" max="5" min="4" style="0" width="16"/>
    <col collapsed="false" customWidth="true" hidden="false" outlineLevel="0" max="6" min="6" style="0" width="26"/>
  </cols>
  <sheetData>
    <row r="1" customFormat="false" ht="31.5" hidden="false" customHeight="true" outlineLevel="0" collapsed="false">
      <c r="A1" s="1" t="s">
        <v>251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252</v>
      </c>
      <c r="B2" s="2"/>
      <c r="C2" s="2"/>
      <c r="D2" s="2"/>
      <c r="E2" s="2"/>
      <c r="F2" s="2"/>
    </row>
    <row r="4" customFormat="false" ht="39.75" hidden="false" customHeight="true" outlineLevel="0" collapsed="false">
      <c r="A4" s="39" t="s">
        <v>253</v>
      </c>
      <c r="B4" s="39"/>
      <c r="C4" s="39"/>
      <c r="D4" s="39"/>
      <c r="E4" s="39"/>
      <c r="F4" s="39"/>
    </row>
    <row r="6" customFormat="false" ht="27.75" hidden="false" customHeight="true" outlineLevel="0" collapsed="false">
      <c r="A6" s="6" t="s">
        <v>254</v>
      </c>
      <c r="B6" s="6" t="s">
        <v>159</v>
      </c>
      <c r="C6" s="6" t="s">
        <v>160</v>
      </c>
      <c r="D6" s="6" t="s">
        <v>255</v>
      </c>
      <c r="E6" s="6" t="s">
        <v>256</v>
      </c>
      <c r="F6" s="6" t="s">
        <v>257</v>
      </c>
    </row>
    <row r="7" customFormat="false" ht="30" hidden="false" customHeight="true" outlineLevel="0" collapsed="false">
      <c r="A7" s="17" t="s">
        <v>258</v>
      </c>
      <c r="B7" s="56" t="s">
        <v>259</v>
      </c>
      <c r="C7" s="68" t="n">
        <v>4960</v>
      </c>
      <c r="D7" s="69" t="n">
        <v>110</v>
      </c>
      <c r="E7" s="69" t="n">
        <v>140</v>
      </c>
      <c r="F7" s="20" t="s">
        <v>260</v>
      </c>
    </row>
    <row r="8" customFormat="false" ht="30" hidden="false" customHeight="true" outlineLevel="0" collapsed="false">
      <c r="A8" s="17" t="s">
        <v>261</v>
      </c>
      <c r="B8" s="56" t="s">
        <v>174</v>
      </c>
      <c r="C8" s="68" t="n">
        <v>133</v>
      </c>
      <c r="D8" s="56" t="s">
        <v>215</v>
      </c>
      <c r="E8" s="56" t="s">
        <v>215</v>
      </c>
      <c r="F8" s="20" t="s">
        <v>262</v>
      </c>
    </row>
    <row r="9" customFormat="false" ht="30" hidden="false" customHeight="true" outlineLevel="0" collapsed="false">
      <c r="A9" s="17" t="s">
        <v>263</v>
      </c>
      <c r="B9" s="56" t="s">
        <v>174</v>
      </c>
      <c r="C9" s="68" t="n">
        <v>133</v>
      </c>
      <c r="D9" s="56" t="s">
        <v>215</v>
      </c>
      <c r="E9" s="56" t="s">
        <v>215</v>
      </c>
      <c r="F9" s="20" t="s">
        <v>264</v>
      </c>
    </row>
    <row r="10" customFormat="false" ht="30" hidden="false" customHeight="true" outlineLevel="0" collapsed="false">
      <c r="A10" s="17" t="s">
        <v>265</v>
      </c>
      <c r="B10" s="56" t="s">
        <v>266</v>
      </c>
      <c r="C10" s="68" t="n">
        <v>5.04</v>
      </c>
      <c r="D10" s="56" t="s">
        <v>215</v>
      </c>
      <c r="E10" s="56" t="s">
        <v>215</v>
      </c>
      <c r="F10" s="20" t="s">
        <v>267</v>
      </c>
    </row>
    <row r="11" customFormat="false" ht="30" hidden="false" customHeight="true" outlineLevel="0" collapsed="false">
      <c r="A11" s="17" t="s">
        <v>268</v>
      </c>
      <c r="B11" s="56" t="s">
        <v>259</v>
      </c>
      <c r="C11" s="56" t="s">
        <v>215</v>
      </c>
      <c r="D11" s="56" t="s">
        <v>215</v>
      </c>
      <c r="E11" s="56" t="s">
        <v>215</v>
      </c>
      <c r="F11" s="20" t="s">
        <v>269</v>
      </c>
    </row>
    <row r="12" customFormat="false" ht="30" hidden="false" customHeight="true" outlineLevel="0" collapsed="false">
      <c r="A12" s="17" t="s">
        <v>270</v>
      </c>
      <c r="B12" s="56" t="s">
        <v>271</v>
      </c>
      <c r="C12" s="68" t="n">
        <v>0.078</v>
      </c>
      <c r="D12" s="69" t="n">
        <v>60000</v>
      </c>
      <c r="E12" s="69" t="n">
        <v>66000</v>
      </c>
      <c r="F12" s="20" t="s">
        <v>272</v>
      </c>
    </row>
    <row r="14" customFormat="false" ht="39.75" hidden="false" customHeight="true" outlineLevel="0" collapsed="false">
      <c r="A14" s="70" t="s">
        <v>273</v>
      </c>
      <c r="B14" s="70"/>
      <c r="C14" s="70"/>
      <c r="D14" s="70"/>
      <c r="E14" s="70"/>
      <c r="F14" s="70"/>
    </row>
  </sheetData>
  <mergeCells count="4">
    <mergeCell ref="A1:F1"/>
    <mergeCell ref="A2:F2"/>
    <mergeCell ref="A4:F4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20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" t="s">
        <v>274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275</v>
      </c>
      <c r="B2" s="2"/>
      <c r="C2" s="2"/>
      <c r="D2" s="2"/>
      <c r="E2" s="2"/>
    </row>
    <row r="4" customFormat="false" ht="39.75" hidden="false" customHeight="true" outlineLevel="0" collapsed="false">
      <c r="A4" s="39" t="s">
        <v>276</v>
      </c>
      <c r="B4" s="39"/>
      <c r="C4" s="39"/>
      <c r="D4" s="39"/>
      <c r="E4" s="39"/>
    </row>
    <row r="6" customFormat="false" ht="39.75" hidden="false" customHeight="true" outlineLevel="0" collapsed="false">
      <c r="A6" s="6" t="s">
        <v>277</v>
      </c>
      <c r="B6" s="6" t="s">
        <v>278</v>
      </c>
      <c r="C6" s="6" t="s">
        <v>279</v>
      </c>
      <c r="D6" s="6" t="s">
        <v>280</v>
      </c>
      <c r="E6" s="6" t="s">
        <v>10</v>
      </c>
    </row>
    <row r="7" customFormat="false" ht="28.35" hidden="false" customHeight="false" outlineLevel="0" collapsed="false">
      <c r="A7" s="7" t="s">
        <v>281</v>
      </c>
      <c r="B7" s="38" t="n">
        <v>104086033</v>
      </c>
      <c r="C7" s="38" t="n">
        <v>39375635</v>
      </c>
      <c r="D7" s="38" t="n">
        <v>39375635</v>
      </c>
      <c r="E7" s="20" t="s">
        <v>282</v>
      </c>
    </row>
    <row r="8" customFormat="false" ht="28.35" hidden="false" customHeight="false" outlineLevel="0" collapsed="false">
      <c r="A8" s="7" t="s">
        <v>283</v>
      </c>
      <c r="B8" s="38" t="n">
        <v>-85000000</v>
      </c>
      <c r="C8" s="38" t="n">
        <v>-30000000</v>
      </c>
      <c r="D8" s="38" t="n">
        <v>-30000000</v>
      </c>
      <c r="E8" s="20" t="s">
        <v>284</v>
      </c>
    </row>
    <row r="9" customFormat="false" ht="15" hidden="false" customHeight="false" outlineLevel="0" collapsed="false">
      <c r="A9" s="7" t="s">
        <v>285</v>
      </c>
      <c r="B9" s="38" t="n">
        <v>-890670</v>
      </c>
      <c r="C9" s="38" t="n">
        <v>-890670</v>
      </c>
      <c r="D9" s="38" t="n">
        <v>-890670</v>
      </c>
      <c r="E9" s="20" t="s">
        <v>286</v>
      </c>
    </row>
    <row r="10" customFormat="false" ht="19.4" hidden="false" customHeight="false" outlineLevel="0" collapsed="false">
      <c r="A10" s="7" t="s">
        <v>287</v>
      </c>
      <c r="B10" s="38" t="n">
        <v>-2141525</v>
      </c>
      <c r="C10" s="38" t="n">
        <v>-810000</v>
      </c>
      <c r="D10" s="38" t="n">
        <v>-810000</v>
      </c>
      <c r="E10" s="20" t="s">
        <v>288</v>
      </c>
    </row>
    <row r="11" customFormat="false" ht="19.4" hidden="false" customHeight="false" outlineLevel="0" collapsed="false">
      <c r="A11" s="7" t="s">
        <v>289</v>
      </c>
      <c r="B11" s="38" t="n">
        <v>-5000000</v>
      </c>
      <c r="C11" s="38" t="n">
        <v>-2000000</v>
      </c>
      <c r="D11" s="38" t="n">
        <v>-5000000</v>
      </c>
      <c r="E11" s="20" t="s">
        <v>290</v>
      </c>
    </row>
    <row r="12" customFormat="false" ht="28.35" hidden="false" customHeight="false" outlineLevel="0" collapsed="false">
      <c r="A12" s="7" t="s">
        <v>291</v>
      </c>
      <c r="B12" s="38" t="n">
        <v>-6000000</v>
      </c>
      <c r="C12" s="38" t="n">
        <v>0</v>
      </c>
      <c r="D12" s="38" t="n">
        <v>-8000000</v>
      </c>
      <c r="E12" s="20" t="s">
        <v>292</v>
      </c>
    </row>
    <row r="13" customFormat="false" ht="19.4" hidden="false" customHeight="false" outlineLevel="0" collapsed="false">
      <c r="A13" s="71" t="s">
        <v>293</v>
      </c>
      <c r="B13" s="72" t="n">
        <f aca="false">SUM(B7:B12)</f>
        <v>5053838</v>
      </c>
      <c r="C13" s="72" t="n">
        <f aca="false">SUM(C7:C12)</f>
        <v>5674965</v>
      </c>
      <c r="D13" s="72" t="n">
        <f aca="false">SUM(D7:D12)</f>
        <v>-5325035</v>
      </c>
      <c r="E13" s="59" t="s">
        <v>294</v>
      </c>
    </row>
    <row r="14" customFormat="false" ht="15" hidden="false" customHeight="false" outlineLevel="0" collapsed="false">
      <c r="A14" s="13" t="s">
        <v>295</v>
      </c>
      <c r="B14" s="73" t="n">
        <f aca="false">B13/B7</f>
        <v>0.0485544299685242</v>
      </c>
      <c r="C14" s="73" t="n">
        <f aca="false">C13/C7</f>
        <v>0.144123770956329</v>
      </c>
      <c r="D14" s="73" t="n">
        <f aca="false">D13/D7</f>
        <v>-0.135236803165206</v>
      </c>
      <c r="E14" s="20" t="s">
        <v>296</v>
      </c>
    </row>
    <row r="16" customFormat="false" ht="15" hidden="false" customHeight="true" outlineLevel="0" collapsed="false">
      <c r="A16" s="3" t="s">
        <v>297</v>
      </c>
      <c r="B16" s="3"/>
      <c r="C16" s="3"/>
      <c r="D16" s="3"/>
      <c r="E16" s="3"/>
    </row>
    <row r="17" customFormat="false" ht="67.5" hidden="false" customHeight="true" outlineLevel="0" collapsed="false">
      <c r="A17" s="5" t="s">
        <v>298</v>
      </c>
      <c r="B17" s="5"/>
      <c r="C17" s="5"/>
      <c r="D17" s="5"/>
      <c r="E17" s="5"/>
    </row>
    <row r="18" customFormat="false" ht="30" hidden="false" customHeight="true" outlineLevel="0" collapsed="false">
      <c r="A18" s="74" t="s">
        <v>299</v>
      </c>
      <c r="B18" s="74"/>
      <c r="C18" s="74"/>
      <c r="D18" s="74"/>
      <c r="E18" s="74"/>
    </row>
  </sheetData>
  <mergeCells count="6">
    <mergeCell ref="A1:E1"/>
    <mergeCell ref="A2:E2"/>
    <mergeCell ref="A4:E4"/>
    <mergeCell ref="A16:E16"/>
    <mergeCell ref="A17:E17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2"/>
    <col collapsed="false" customWidth="true" hidden="false" outlineLevel="0" max="3" min="3" style="0" width="16"/>
  </cols>
  <sheetData>
    <row r="1" customFormat="false" ht="31.5" hidden="false" customHeight="true" outlineLevel="0" collapsed="false">
      <c r="A1" s="1" t="s">
        <v>300</v>
      </c>
      <c r="B1" s="1"/>
      <c r="C1" s="1"/>
    </row>
    <row r="2" customFormat="false" ht="25.5" hidden="false" customHeight="true" outlineLevel="0" collapsed="false">
      <c r="A2" s="2" t="s">
        <v>301</v>
      </c>
      <c r="B2" s="2"/>
      <c r="C2" s="2"/>
    </row>
    <row r="4" customFormat="false" ht="90" hidden="false" customHeight="true" outlineLevel="0" collapsed="false">
      <c r="A4" s="75" t="s">
        <v>302</v>
      </c>
      <c r="B4" s="75"/>
      <c r="C4" s="75"/>
    </row>
    <row r="6" customFormat="false" ht="27.75" hidden="false" customHeight="true" outlineLevel="0" collapsed="false">
      <c r="A6" s="6" t="s">
        <v>303</v>
      </c>
      <c r="B6" s="6" t="s">
        <v>304</v>
      </c>
      <c r="C6" s="6" t="s">
        <v>305</v>
      </c>
    </row>
    <row r="7" customFormat="false" ht="54" hidden="false" customHeight="true" outlineLevel="0" collapsed="false">
      <c r="A7" s="16" t="s">
        <v>306</v>
      </c>
      <c r="B7" s="17" t="s">
        <v>307</v>
      </c>
      <c r="C7" s="21" t="s">
        <v>308</v>
      </c>
    </row>
    <row r="8" customFormat="false" ht="54" hidden="false" customHeight="true" outlineLevel="0" collapsed="false">
      <c r="A8" s="16" t="s">
        <v>309</v>
      </c>
      <c r="B8" s="17" t="s">
        <v>310</v>
      </c>
      <c r="C8" s="19" t="s">
        <v>311</v>
      </c>
    </row>
    <row r="9" customFormat="false" ht="54" hidden="false" customHeight="true" outlineLevel="0" collapsed="false">
      <c r="A9" s="16" t="s">
        <v>312</v>
      </c>
      <c r="B9" s="17" t="s">
        <v>313</v>
      </c>
      <c r="C9" s="19" t="s">
        <v>311</v>
      </c>
    </row>
    <row r="10" customFormat="false" ht="54" hidden="false" customHeight="true" outlineLevel="0" collapsed="false">
      <c r="A10" s="16" t="s">
        <v>314</v>
      </c>
      <c r="B10" s="17" t="s">
        <v>315</v>
      </c>
      <c r="C10" s="76" t="s">
        <v>316</v>
      </c>
    </row>
    <row r="11" customFormat="false" ht="54" hidden="false" customHeight="true" outlineLevel="0" collapsed="false">
      <c r="A11" s="16" t="s">
        <v>317</v>
      </c>
      <c r="B11" s="17" t="s">
        <v>318</v>
      </c>
      <c r="C11" s="76" t="s">
        <v>316</v>
      </c>
    </row>
    <row r="12" customFormat="false" ht="54" hidden="false" customHeight="true" outlineLevel="0" collapsed="false">
      <c r="A12" s="16" t="s">
        <v>319</v>
      </c>
      <c r="B12" s="17" t="s">
        <v>320</v>
      </c>
      <c r="C12" s="21" t="s">
        <v>308</v>
      </c>
    </row>
    <row r="13" customFormat="false" ht="54" hidden="false" customHeight="true" outlineLevel="0" collapsed="false">
      <c r="A13" s="16" t="s">
        <v>321</v>
      </c>
      <c r="B13" s="17" t="s">
        <v>322</v>
      </c>
      <c r="C13" s="76" t="s">
        <v>316</v>
      </c>
    </row>
    <row r="15" customFormat="false" ht="55.5" hidden="false" customHeight="true" outlineLevel="0" collapsed="false">
      <c r="A15" s="77" t="s">
        <v>323</v>
      </c>
      <c r="B15" s="77"/>
      <c r="C15" s="77"/>
    </row>
  </sheetData>
  <mergeCells count="4">
    <mergeCell ref="A1:C1"/>
    <mergeCell ref="A2:C2"/>
    <mergeCell ref="A4:C4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2026-08-03T16:26:30Z</dcterms:created>
  <dc:creator>openpyxl</dc:creator>
  <dc:description/>
  <dc:language>en-US</dc:language>
  <cp:lastModifiedBy/>
  <dcterms:modified xsi:type="dcterms:W3CDTF">2026-08-03T16:26:30Z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