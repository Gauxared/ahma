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00_Резюме_Заключение" sheetId="2" state="visible" r:id="rId4"/>
    <sheet name="01_Объект" sheetId="3" state="visible" r:id="rId5"/>
    <sheet name="02_Параметры" sheetId="4" state="visible" r:id="rId6"/>
    <sheet name="03_Себестоимость_ИТОГ" sheetId="5" state="visible" r:id="rId7"/>
    <sheet name="04_СМР_по_позициям" sheetId="6" state="visible" r:id="rId8"/>
    <sheet name="05_ТМЦ_реестр" sheetId="7" state="visible" r:id="rId9"/>
    <sheet name="06_АХР_генподряд" sheetId="8" state="visible" r:id="rId10"/>
    <sheet name="07_Стоимость_ИД" sheetId="9" state="visible" r:id="rId11"/>
    <sheet name="08_Блок_КС_риск" sheetId="10" state="visible" r:id="rId12"/>
    <sheet name="09_Сквозные_вычеты" sheetId="11" state="visible" r:id="rId13"/>
    <sheet name="10_Передачи_смежникам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<sst xmlns="http://schemas.openxmlformats.org/spreadsheetml/2006/main" count="531" uniqueCount="480">
  <si>
    <t xml:space="preserve">ИИ-ЭКОНОМИСТ · ЭКОНОМ · ПО ПОЗИЦИЯМ СЕБЕСТОИМОСТЬ И ФИНРЕЗУЛЬТАТ</t>
  </si>
  <si>
    <t xml:space="preserve">ЖДПП «Зауралье» (СОТ + ЭОМ) · ст. Зауралье, 76 км · Половинский р-н · Курганская обл. · SI-2026-KRG-ZAU-СОТ · Такт 5 · 03.08.2026</t>
  </si>
  <si>
    <t xml:space="preserve">Файл собран ИИ-экономистом (Эконом) на входных данных всего конвейера: ИИ-руководитель проекта (паспорт), ИИ-ГИП (ЦИМ/объёмы), ИИ-сметчик (ЛСР/индексы), ИИ-снабженец (ТМЦ/объём), ИИ-подрядчик (субподряд/дисконт), ИИ-ПТО (ИД), ИИ-договорник (договор/НДС/обеспечение). Точность: ±15% — договора и РД нет, часть объёма не разграничена. Это финансовая разведка, НЕ финальный финансовый результат.</t>
  </si>
  <si>
    <t xml:space="preserve">⚡ ГЛАВНЫЙ ВЫВОД ИИ-ЭКОНОМИСТА (детали — лист 00_Резюме_Заключение)</t>
  </si>
  <si>
    <t xml:space="preserve">Коллеги дали ВАЛОВУЮ оценку (ИИ-сметчик: сценарий Б ≈ +14% до вычетов). Но никто не свёл её с РЕАЛЬНОЙ ценой субподряда (ИИ-подрядчик: дисконт всего 6%, а не 24% как в самовыполнении), с АХР штата генподряда (~2,7 млн) и с производством ИД сверх сметы (ИИ-ПТО: ~1,78 млн). Когда всё это подставить — маржа в НОРМАЛЬНОМ сценарии падает к НУЛЮ (+0,7 млн / +1,7%), НИЖЕ красной линии 5%. Объект прибыльным становится ТОЛЬКО при самовыполнении ЭОМ, НДС «сверху» и чистом объёме (оптимист ≈ +3,0 млн / +7,5%). Пессимист ≈ −10,6 млн. Заключение: 🔴 брать нельзя, пока не разрешён блок КС, объём оборудования/опор и НДС 22%.</t>
  </si>
  <si>
    <t xml:space="preserve">КАРТА ФАЙЛА — читать сверху вниз</t>
  </si>
  <si>
    <t xml:space="preserve">Лист</t>
  </si>
  <si>
    <t xml:space="preserve">Что внутри</t>
  </si>
  <si>
    <t xml:space="preserve">Когда смотреть</t>
  </si>
  <si>
    <t xml:space="preserve">00_Резюме_Заключение</t>
  </si>
  <si>
    <t xml:space="preserve">Заключение ИИ-экономиста, 3 сценария на одной странице, алерт ИИ-руководителю проекта</t>
  </si>
  <si>
    <t xml:space="preserve">СНАЧАЛА</t>
  </si>
  <si>
    <t xml:space="preserve">01_Объект</t>
  </si>
  <si>
    <t xml:space="preserve">Сводный паспорт объекта из всех артефактов конвейера</t>
  </si>
  <si>
    <t xml:space="preserve">для справки</t>
  </si>
  <si>
    <t xml:space="preserve">02_Параметры ⭐</t>
  </si>
  <si>
    <t xml:space="preserve">Управляющие ячейки: все ставки/дисконты/АХР по 3 сценариям (жёлтые — редактируемо)</t>
  </si>
  <si>
    <t xml:space="preserve">для пересчёта</t>
  </si>
  <si>
    <t xml:space="preserve">03_Себестоимость_ИТОГ ⭐⭐</t>
  </si>
  <si>
    <t xml:space="preserve">ГЛАВНЫЙ финансовый результат: выручка − себестоимость = маржа. 3 сценария. Налог. Чистая прибыль</t>
  </si>
  <si>
    <t xml:space="preserve">КЛЮЧЕВОЙ</t>
  </si>
  <si>
    <t xml:space="preserve">04_по позициям_СМР ⭐⭐</t>
  </si>
  <si>
    <t xml:space="preserve">По пакетам П-1…П-4: потолок ЛСР, цена субподряда/самовыполнения, разница по 3 сценариям</t>
  </si>
  <si>
    <t xml:space="preserve">по позициям СМР</t>
  </si>
  <si>
    <t xml:space="preserve">05_ТМЦ_реестр ⭐</t>
  </si>
  <si>
    <t xml:space="preserve">Материалы нашей поставки (ИИ-снабженец): рынок vs смета, логистика, разница, объём</t>
  </si>
  <si>
    <t xml:space="preserve">по позициям ТМЦ</t>
  </si>
  <si>
    <t xml:space="preserve">06_АХР_генподряд ⭐</t>
  </si>
  <si>
    <t xml:space="preserve">Штат генподрядчика на объект: роли, ставки, загрузка, вахта, взносы — расчёт АХР</t>
  </si>
  <si>
    <t xml:space="preserve">штат ГП</t>
  </si>
  <si>
    <t xml:space="preserve">07_Стоимость_ИД ⭐</t>
  </si>
  <si>
    <t xml:space="preserve">Производство ИД по позициям (ИИ-ПТО): что в смете, что сверх — давление на маржу</t>
  </si>
  <si>
    <t xml:space="preserve">стоимость ИД</t>
  </si>
  <si>
    <t xml:space="preserve">08_Блок_КС_риск</t>
  </si>
  <si>
    <t xml:space="preserve">Разбор блока «вынос КС» 64,71 млн (воздух): 3 судьбы, почему нельзя на КС-2</t>
  </si>
  <si>
    <t xml:space="preserve">критический риск</t>
  </si>
  <si>
    <t xml:space="preserve">09_Сквозные_вычеты</t>
  </si>
  <si>
    <t xml:space="preserve">НДС 20→22%, двойной ПНР, реиндекс 2025→26, БГ vs ГУ, ГОЗ 275-ФЗ, простои РЖД</t>
  </si>
  <si>
    <t xml:space="preserve">финусловия</t>
  </si>
  <si>
    <t xml:space="preserve">10_Передачи смежникам</t>
  </si>
  <si>
    <t xml:space="preserve">Финансовый алерт ИИ-руководителю проекта + задания коллегам с денежным эффектом</t>
  </si>
  <si>
    <t xml:space="preserve">на выход</t>
  </si>
  <si>
    <t xml:space="preserve">ЦВЕТОВАЯ КОДИРОВКА (стандарт v8)</t>
  </si>
  <si>
    <t xml:space="preserve">Синий шрифт</t>
  </si>
  <si>
    <t xml:space="preserve">Входные данные / ставки — редактируемо (лист 02_Параметры)</t>
  </si>
  <si>
    <t xml:space="preserve">Зелёный шрифт</t>
  </si>
  <si>
    <t xml:space="preserve">Ссылка на другой лист / артефакт коллеги</t>
  </si>
  <si>
    <t xml:space="preserve">Жёлтая заливка</t>
  </si>
  <si>
    <t xml:space="preserve">Ключевое допущение или ячейка под уточнение</t>
  </si>
  <si>
    <t xml:space="preserve">Зелёная заливка</t>
  </si>
  <si>
    <t xml:space="preserve">Заработок / положительная маржа</t>
  </si>
  <si>
    <t xml:space="preserve">Красная заливка</t>
  </si>
  <si>
    <t xml:space="preserve">Убыток / риск / «воздух»</t>
  </si>
  <si>
    <t xml:space="preserve">СТРОЙИНТЕЛЛЕКТ.ЭКОНОМ · ИИ-ЭКОНОМИСТ · ФИНАНСОВЫЙ ЗАКЛЮЧЕНИЕ ПО СЕБЕСТОИМОСТИ</t>
  </si>
  <si>
    <t xml:space="preserve">ЖДПП «Зауралье» (СОТ+ЭОМ) · SI-2026-KRG-ZAU-СОТ · Такт 5 · 03.08.2026 · Адресат: ИИ-руководитель проекта + команда</t>
  </si>
  <si>
    <t xml:space="preserve">🔴 / 🟡  ЗАКЛЮЧЕНИЕ: В БАЗОВОМ СЦЕНАРИИ МАРЖА У НУЛЯ — НИЖЕ КРАСНОЙ ЛИНИИ 5%. БРАТЬ НЕЛЬЗЯ, ПОКА НЕ РАЗРЕШЕНЫ 3 ОБЪЁМ-ВОПРОСА.</t>
  </si>
  <si>
    <t xml:space="preserve">ЗАКЛЮЧЕНИЕ В 4 СТРОКИ</t>
  </si>
  <si>
    <t xml:space="preserve">🟡</t>
  </si>
  <si>
    <t xml:space="preserve">ОБЪЕКТ ТОНКИЙ. Реальный фронт — не 128 млн, а ~40 млн (блок КС 64,71 млн — воздух, оборуд. давальческое). На этих 40 млн честная маржа генподряда в базовом сценарии ≈ 0 (−0,3 млн / −0,6%), НИЖЕ красной линии 5%.</t>
  </si>
  <si>
    <t xml:space="preserve">🔴</t>
  </si>
  <si>
    <t xml:space="preserve">ПОЧЕМУ ТОНЬШЕ, ЧЕМ У КОЛЛЕГ. ИИ-сметчик дала валовые +14% ДО вычетов. Когда подставляю реальную цену субподряда ИИ-подрядчика (дисконт 6%, не 24%) + АХР штата ГП (3,64 млн) + ИД сверх сметы (1,78 млн) — «жирок» съедается. Это моя ключевая правка.</t>
  </si>
  <si>
    <t xml:space="preserve">🟢</t>
  </si>
  <si>
    <t xml:space="preserve">ГДЕ ПРИБЫЛЬ. Единственный рычаг в плюс — САМОВЫПОЛНЕНИЕ ЭОМ своими бригадами (забираем НР/СП ~5 млн вместо дисконта ~1,5 млн). Оптимист (самовыполнение + НДС «сверху» + чистый объём) = +2,79 млн до налога (+7,0%), но и это НИЖЕ целевых 8–9%.</t>
  </si>
  <si>
    <t xml:space="preserve">ГЛАВНЫЙ НОВЫЙ РИСК — ГОЗ. Заказчик — контур ФСБ → вероятен 275-ФЗ: уполномоченный банк, раздельный учёт, правило рентабельности «1%+20%». Меняет всю финмодель и кассу. ИИ-договорник — установить режим ДО подписания.</t>
  </si>
  <si>
    <t xml:space="preserve">финансовый результат ПО 3 СЦЕНАРИЯМ (без НДС) — из листа 03, тянется формулами</t>
  </si>
  <si>
    <t xml:space="preserve">Показатель, ₽</t>
  </si>
  <si>
    <t xml:space="preserve">ОПТИМИСТ</t>
  </si>
  <si>
    <t xml:space="preserve">НОРМАЛЬНЫЙ</t>
  </si>
  <si>
    <t xml:space="preserve">ПЕССИМИСТ</t>
  </si>
  <si>
    <t xml:space="preserve">Комментарий</t>
  </si>
  <si>
    <t xml:space="preserve">Выручка без НДС (реальный фронт Б)</t>
  </si>
  <si>
    <t xml:space="preserve">блок КС исключён</t>
  </si>
  <si>
    <t xml:space="preserve">Себестоимость (СМР+ТМЦ+АХР+ИД+вычеты)</t>
  </si>
  <si>
    <t xml:space="preserve">мой снизу вверх</t>
  </si>
  <si>
    <t xml:space="preserve">ПРИБЫЛЬ/УБЫТОК ДО НАЛОГА</t>
  </si>
  <si>
    <t xml:space="preserve"> =выручка − себест</t>
  </si>
  <si>
    <t xml:space="preserve">  % к выручке</t>
  </si>
  <si>
    <t xml:space="preserve">красная линия 5%</t>
  </si>
  <si>
    <t xml:space="preserve">ЧИСТАЯ ПРИБЫЛЬ (после налога 25%)</t>
  </si>
  <si>
    <t xml:space="preserve">налог на прибыль</t>
  </si>
  <si>
    <t xml:space="preserve">КЛЮЧЕВЫЕ ЦИФРЫ (источник: конвейер команды)</t>
  </si>
  <si>
    <t xml:space="preserve">НМЦК (потолок цены) с НДС 20%</t>
  </si>
  <si>
    <t xml:space="preserve">128 491 484 ₽</t>
  </si>
  <si>
    <t xml:space="preserve">ССРСС; НДС факт. 22% (недобор 2,14 млн)</t>
  </si>
  <si>
    <t xml:space="preserve">Реальный фронт работ (сценарий Б)</t>
  </si>
  <si>
    <t xml:space="preserve">37 153 599 ₽</t>
  </si>
  <si>
    <t xml:space="preserve">ИИ-подрядчик: П-1 ЭОМ 24,82 + П-2 СОТ 11,09 + П-3 1,25</t>
  </si>
  <si>
    <t xml:space="preserve">❌ Блок «вынос КС» — воздух</t>
  </si>
  <si>
    <t xml:space="preserve">64 710 398 ₽</t>
  </si>
  <si>
    <t xml:space="preserve">ИИ-ГИП+ИИ-сметчик: 200 км при физике ~17 км</t>
  </si>
  <si>
    <t xml:space="preserve">Оборудование «железо» СОТ — давальческое</t>
  </si>
  <si>
    <t xml:space="preserve">15,8–45,6 млн ₽</t>
  </si>
  <si>
    <t xml:space="preserve">ИИ-снабженец: поставка заказчика (контур ФСБ)</t>
  </si>
  <si>
    <t xml:space="preserve">АХР генподряда (штат, 6 мес)</t>
  </si>
  <si>
    <t xml:space="preserve">3 637 800 ₽</t>
  </si>
  <si>
    <t xml:space="preserve">ИИ-экономист лист 06 — коллеги не считали</t>
  </si>
  <si>
    <t xml:space="preserve">Производство ИД сверх сметы</t>
  </si>
  <si>
    <t xml:space="preserve">1 780 000 ₽</t>
  </si>
  <si>
    <t xml:space="preserve">ИИ-ПТО лист 07 — не выделено в ЛСР</t>
  </si>
  <si>
    <t xml:space="preserve">Дисконт субподряда 6% (рычаг маржи)</t>
  </si>
  <si>
    <t xml:space="preserve">+2 229 216 ₽</t>
  </si>
  <si>
    <t xml:space="preserve">ИИ-подрядчик: на реальных 37 млн</t>
  </si>
  <si>
    <t xml:space="preserve">Эффект замены ГУ→БГ</t>
  </si>
  <si>
    <t xml:space="preserve">+3 533 516 ₽</t>
  </si>
  <si>
    <t xml:space="preserve">ИИ-договорник: высвобождение оборотки</t>
  </si>
  <si>
    <t xml:space="preserve">ТРИ УСЛОВИЯ, БЕЗ КОТОРЫХ НЕ ПОДАВАТЬ (решение — ИИ-руководитель проекта)</t>
  </si>
  <si>
    <t xml:space="preserve">1. Блок КС 64,71 млн</t>
  </si>
  <si>
    <t xml:space="preserve">Официальный запрос в РЖД/Заказчику: фактически требуемый вынос. Вычистить из НМЦК через ценовой аудит Гл.12. Иначе сценарий В = −5,3 млн + ст.159 УК.</t>
  </si>
  <si>
    <t xml:space="preserve">2. Объём оборуд./опор</t>
  </si>
  <si>
    <t xml:space="preserve">Письменно: «железо» СОТ (16–46 млн) и металл опор (5–7,5 млн) — давальческие. Если наши — объект глубоко убыточен без допсметы.</t>
  </si>
  <si>
    <t xml:space="preserve">3. НДС 22% + режим ГОЗ</t>
  </si>
  <si>
    <t xml:space="preserve">Формула «НДС сверху» (снимает 2,14 млн). Установить, ГОЗ ли (275-ФЗ) — меняет кассу и рентабельность. Аванс + БГ вместо ГУ.</t>
  </si>
  <si>
    <t xml:space="preserve">ИТОГ ИИ-ЭКОНОМИСТА: объект БЕЗ этих трёх условий — не брать (маржа у нуля/минус). С условиями + самовыполнением ЭОМ — реалистичный коридор +0…+2,8 млн (0…7%). Целевые 8–9% достижимы только при идеальном стечении. Точность ±15% (нет договора и РД). Финмодель БДДС — следующий шаг, после получения договора.</t>
  </si>
  <si>
    <t xml:space="preserve">ПАСПОРТ ОБЪЕКТА — СВОДНЫЙ (вход ИИ-экономиста)</t>
  </si>
  <si>
    <t xml:space="preserve">Источник: паспорт ИИ-руководителя проекта (Такт 0) + ЦИМ ИИ-ГИП + смета ИИ-сметчика + артефакты ИИ-снабженца/ИИ-подрядчика/ИИ-ПТО/ИИ-договорника</t>
  </si>
  <si>
    <t xml:space="preserve">ID объекта</t>
  </si>
  <si>
    <t xml:space="preserve">SI-2026-KRG-ZAU-СОТ</t>
  </si>
  <si>
    <t xml:space="preserve">Наименование</t>
  </si>
  <si>
    <t xml:space="preserve">Оснащение системой видеонаблюдения ЖДПП «Зауралье». СОТ (охранное ТВ) + ЭОМ (электроснабжение 0,4 кВ). Актуализация ПСД</t>
  </si>
  <si>
    <t xml:space="preserve">Адрес</t>
  </si>
  <si>
    <t xml:space="preserve">Курганская обл., Половинский р-н, ст. Зауралье, 76 км, пк 6+80 — пограничный ж/д пункт пропуска через госграницу</t>
  </si>
  <si>
    <t xml:space="preserve">Заказчик</t>
  </si>
  <si>
    <t xml:space="preserve">⚠ НЕ идентифицирован в документах. Интересант — ПУ ФСБ России по Курганской и Тюменской обл. Установить ЛПР и источник финансирования — ИИ-договорник</t>
  </si>
  <si>
    <t xml:space="preserve">Проектировщик</t>
  </si>
  <si>
    <t xml:space="preserve">АО «Институт Оргэнергострой», Москва. Проект 1102/23-Зауралье (СОТ+ЭОМ), стадия «П». ГИП Безъязыков Д.С.</t>
  </si>
  <si>
    <t xml:space="preserve">Тип объекта</t>
  </si>
  <si>
    <t xml:space="preserve">Слаботочка (СОТ) + электроснабжение 0,4 кВ (ЭОМ) на ДЕЙСТВУЮЩЕЙ ж/д станции РЖД. НЕ капстрой — монтаж/техперевооружение систем</t>
  </si>
  <si>
    <t xml:space="preserve">Особый режим</t>
  </si>
  <si>
    <t xml:space="preserve">🔴 Категорированный погранобъект (ФЗ 5485-1): спецпроверки/специсследования + аттестация ФСТЭК-77, лицензии ФСБ/ФСТЭК монтажника. Контактная сеть 27,5 кВ → «окна» РЖД, наряды-допуски</t>
  </si>
  <si>
    <t xml:space="preserve">Наша роль</t>
  </si>
  <si>
    <t xml:space="preserve">Генподряд: координация + ПТО/ИД + КС-2. Весь физический монтаж — субподряд (2 пакета) + условный КС через ЭЧ РЖД</t>
  </si>
  <si>
    <t xml:space="preserve">Стадия</t>
  </si>
  <si>
    <t xml:space="preserve">Предстартовая проработка. ПД «П». РД для точных объёмов ещё нужна</t>
  </si>
  <si>
    <t xml:space="preserve">НМЦК (потолок цены)</t>
  </si>
  <si>
    <t xml:space="preserve">128 491 484 ₽ с НДС 20% (уровень цен II кв.2025); без НДС 107 076 237 ₽. Метод: ресурсный + РИМ, ГРАНД-Смета 2026.1</t>
  </si>
  <si>
    <t xml:space="preserve">Плановый срок</t>
  </si>
  <si>
    <t xml:space="preserve">⚠ НЕ задан в документах. Принято для расчёта труда: активная фаза ~6 мес (флаг ИИ-руководителя проекта/ИИ-ПТО). Зимний ж/д монтаж + «окна» РЖД — риск</t>
  </si>
  <si>
    <t xml:space="preserve">Целевая маржа</t>
  </si>
  <si>
    <t xml:space="preserve">8–9% от НМЦК (ИИ-руководитель проекта); КРАСНАЯ ЛИНИЯ 5%. Ниже — стоп/переторг/эскалация</t>
  </si>
  <si>
    <t xml:space="preserve">Заключение ГИП по ВОР</t>
  </si>
  <si>
    <t xml:space="preserve">🔴 ВОЗВРАЩЁН (ИИ-ГИП): блок «выноса КС» 200 км не обоснован РД (физика ~17 км)</t>
  </si>
  <si>
    <t xml:space="preserve">Заключение РП</t>
  </si>
  <si>
    <t xml:space="preserve">🟡 ЖЁЛТЫЙ — брать в проработку, себес пока НЕ достоверен (ИИ-руководитель проекта)</t>
  </si>
  <si>
    <t xml:space="preserve">Заключение ИИ-экономиста (этот файл)</t>
  </si>
  <si>
    <t xml:space="preserve">🔴/🟡 — в базовом сценарии маржа НИЖЕ красной линии 5%. Не подавать до разрешения блока КС, объёма оборуд./опор и НДС 22%</t>
  </si>
  <si>
    <t xml:space="preserve">02_ПАРАМЕТРЫ — УПРАВЛЯЮЩИЕ ЯЧЕЙКИ (жёлтое — редактируемо)</t>
  </si>
  <si>
    <t xml:space="preserve">Меняешь жёлтую ячейку → лист 03_Себестоимость_ИТОГ и 04_по позициям_СМР пересчитываются автоматически. Синий шрифт = вход/ставка.</t>
  </si>
  <si>
    <t xml:space="preserve">Параметр</t>
  </si>
  <si>
    <t xml:space="preserve">Обоснование / источник</t>
  </si>
  <si>
    <t xml:space="preserve">А. ВЫРУЧКА — базовые суммы (сценарий Б, реальный фронт; блок КС исключён)</t>
  </si>
  <si>
    <t xml:space="preserve">Потолок ЛСР · П-1 ЭОМ (опоры, СИП, заземл., ГНБ, малый блок КС)</t>
  </si>
  <si>
    <t xml:space="preserve">ИИ-подрядчик лист 02 / ИИ-сметчик ЛСР ЭОМ без блока КС</t>
  </si>
  <si>
    <t xml:space="preserve">Потолок ЛСР · П-2 СОТ (монтаж, оборуд. давальческое)</t>
  </si>
  <si>
    <t xml:space="preserve">ИИ-подрядчик / ЛСР СОТ 05-02 монтаж</t>
  </si>
  <si>
    <t xml:space="preserve">Потолок ЛСР · П-3 ПНР + спецпроверки ФСБ</t>
  </si>
  <si>
    <t xml:space="preserve">ИИ-подрядчик / ПНР 890 670 (дубль снят) + СП/СИ 354 583</t>
  </si>
  <si>
    <t xml:space="preserve">Оборудование в смете — выручка (ViPNet + пр. СОТ)</t>
  </si>
  <si>
    <t xml:space="preserve">ИИ-сметчик лист 06; в т.ч. ViPNet 1 386 845</t>
  </si>
  <si>
    <t xml:space="preserve">Ставка непредвиденных (на реальный фронт)</t>
  </si>
  <si>
    <t xml:space="preserve">Приказ 421/пр п.179, непроизв. объект 2%</t>
  </si>
  <si>
    <t xml:space="preserve">Б. СМР / МОНТАЖ — как выполняем и по какой цене</t>
  </si>
  <si>
    <t xml:space="preserve">Доля П-1 ЭОМ СОБСТВЕННЫМИ силами</t>
  </si>
  <si>
    <t xml:space="preserve">Ключевой рычаг: при самовыполнении забираем НР/СП; при 100% субподряде — только дисконт</t>
  </si>
  <si>
    <t xml:space="preserve">Коэф. реальной себестоимости самовыполнения П-1</t>
  </si>
  <si>
    <t xml:space="preserve">Электромонтаж своими бригадами: доля себест. в смете (маржа 17–22%). Пессимист — почти по смете</t>
  </si>
  <si>
    <t xml:space="preserve">Дисконт субподряда П-1 (если 100% субподряд)</t>
  </si>
  <si>
    <t xml:space="preserve">Применяется только при p1_self=0 (пессимист)</t>
  </si>
  <si>
    <t xml:space="preserve">Дисконт субподряда П-2 СОТ (лицензиат ФСБ/ФСТЭК)</t>
  </si>
  <si>
    <t xml:space="preserve">ИИ-подрядчик лист 08: узкий рынок, демпинг запрещён 5–7%</t>
  </si>
  <si>
    <t xml:space="preserve">Дисконт субподряда П-3 ПНР/СП</t>
  </si>
  <si>
    <t xml:space="preserve">Узкий рынок лицензиатов ФСБ — дисконт ограничен</t>
  </si>
  <si>
    <t xml:space="preserve">Себестоимость оборудования нашей поставки (ViPNet+)</t>
  </si>
  <si>
    <t xml:space="preserve">ИИ-снабженец лист 02: ViPNet 1,2–1,6 млн + прочее. Паритет со сметой</t>
  </si>
  <si>
    <t xml:space="preserve">В. ЗАТРАТЫ ГЕНПОДРЯДА — то, что коллеги НЕ оцифровали (зона ИИ-экономиста)</t>
  </si>
  <si>
    <t xml:space="preserve">Производство ИД СВЕРХ сметы</t>
  </si>
  <si>
    <t xml:space="preserve">ИИ-ПТО лист 05/07: ЭТЛ+оптика+геодезия+эл.ИД+аттестация. Пессимист — аттестация ФСТЭК наша</t>
  </si>
  <si>
    <t xml:space="preserve">АХР генподрядчика (штат + вахта + офис, 6 мес)</t>
  </si>
  <si>
    <t xml:space="preserve">ИИ-экономист лист 06: штат ГП. Пессимист — растянутый срок из-за «окон» РЖД</t>
  </si>
  <si>
    <t xml:space="preserve">Спецтехника/ГНБ сверх субподряда (АГП, вибро, прокол)</t>
  </si>
  <si>
    <t xml:space="preserve">ИИ-подрядчик лист 06: аренда локально Курган. ГНБ — микро-субподряд</t>
  </si>
  <si>
    <t xml:space="preserve">ТМЦ: недобор материалов (+) / экономия Урал (−)</t>
  </si>
  <si>
    <t xml:space="preserve">ИИ-снабженец лист 06: региональное плечо Екб (+); риск недоучёта опор/дороже рынка (−)</t>
  </si>
  <si>
    <t xml:space="preserve">Г. СКВОЗНЫЕ ВЫЧЕТЫ И РИСКИ (лист 09_Сквозные_вычеты)</t>
  </si>
  <si>
    <t xml:space="preserve">НДС-разрыв 20%→22% (если цена «включая НДС»)</t>
  </si>
  <si>
    <t xml:space="preserve">ИИ-договорник лист 04: при формуле «НДС сверху» = 0 (реком.); «включая» — подрядчик несёт</t>
  </si>
  <si>
    <t xml:space="preserve">Реиндекс 2025→2026 (некомпенсированная часть)</t>
  </si>
  <si>
    <t xml:space="preserve">ИИ-сметчик лист 08: дефлятор СМР ~5%. Компенсируется индексацией контракта или нет</t>
  </si>
  <si>
    <t xml:space="preserve">Простои «окна» РЖД / претензии / кассовый провал</t>
  </si>
  <si>
    <t xml:space="preserve">ИИ-договорник лист 06: чьи риски простоя. Оптимист — прописано на заказчика</t>
  </si>
  <si>
    <t xml:space="preserve">Обеспечение (БГ) + стоимость капитала / касса</t>
  </si>
  <si>
    <t xml:space="preserve">ИИ-договорник лист 07: БГ вместо ГУ; при отсутствии аванса — кассовый разрыв</t>
  </si>
  <si>
    <t xml:space="preserve">Д. НАЛОГ</t>
  </si>
  <si>
    <t xml:space="preserve">Ставка налога на прибыль</t>
  </si>
  <si>
    <t xml:space="preserve">С 2025 г. — 25%. При ГОЗ (275-ФЗ) — правило рентабельности «1%+20%», лист 09</t>
  </si>
  <si>
    <t xml:space="preserve">ПРИРОДА ЦИФР (стандарт v8): суммы работ — из ЛСР ИИ-сметчика (±3–5%); дисконты и ставки труда — рынок 03.08.2026 (±10–15%); АХР и стоимость ИД — ориентиры отрасли (±15–20%). Это модель для планирования, а не подписанный финансовый результат. Точность общая ±15%, т.к. нет договора и РД. Все жёлтые ячейки редактируются — расчёт пересчитается. Блок КС 64,71 млн в выручку НЕ включён (сценарий Б) — он разбирается отдельно на листе 08.</t>
  </si>
  <si>
    <t xml:space="preserve">03_СЕБЕСТОИМОСТЬ И ФИНРЕЗУЛЬТАТ — финансовый результат ПО 3 СЦЕНАРИЯМ (без НДС)</t>
  </si>
  <si>
    <t xml:space="preserve">Выручка = реальный фронт (сценарий Б, блок КС исключён). Все статьи тянутся из 02_Параметры. Знак/% — формулы.</t>
  </si>
  <si>
    <t xml:space="preserve">Статья финансовый результат, ₽ (без НДС)</t>
  </si>
  <si>
    <t xml:space="preserve">ВЫРУЧКА (билуемая — то, что реально можно предъявить в КС-2)</t>
  </si>
  <si>
    <t xml:space="preserve">Работы реального фронта (П-1+П-2+П-3)</t>
  </si>
  <si>
    <t xml:space="preserve">ИИ-подрядчик: 37,15 млн</t>
  </si>
  <si>
    <t xml:space="preserve">Оборудование в смете (ViPNet + пр.)</t>
  </si>
  <si>
    <t xml:space="preserve">ИИ-сметчик лист 06</t>
  </si>
  <si>
    <t xml:space="preserve">Непредвиденные 2%</t>
  </si>
  <si>
    <t xml:space="preserve">421/пр</t>
  </si>
  <si>
    <t xml:space="preserve">ВЫРУЧКА без НДС</t>
  </si>
  <si>
    <t xml:space="preserve">≈ сценарий Б ИИ-сметчика (40,16 млн)</t>
  </si>
  <si>
    <t xml:space="preserve">СЕБЕСТОИМОСТЬ (реальные затраты подрядчика)</t>
  </si>
  <si>
    <t xml:space="preserve">   П-1 ЭОМ: самовыполнение k / субподряд (1−дисконт)</t>
  </si>
  <si>
    <t xml:space="preserve">Рычаг: своими силами забираем НР+СП</t>
  </si>
  <si>
    <t xml:space="preserve">   П-2 СОТ: субподряд (1−дисконт)</t>
  </si>
  <si>
    <t xml:space="preserve">Лицензиат ФСБ — Парсек</t>
  </si>
  <si>
    <t xml:space="preserve">   П-3 ПНР/спецпроверки: субподряд (1−дисконт)</t>
  </si>
  <si>
    <t xml:space="preserve">Узкий рынок</t>
  </si>
  <si>
    <t xml:space="preserve">   Оборудование нашей поставки (ViPNet+)</t>
  </si>
  <si>
    <t xml:space="preserve">ИИ-снабженец</t>
  </si>
  <si>
    <t xml:space="preserve">   Производство ИД сверх сметы</t>
  </si>
  <si>
    <t xml:space="preserve">ИИ-ПТО лист 07</t>
  </si>
  <si>
    <t xml:space="preserve">   АХР генподрядчика (штат + вахта)</t>
  </si>
  <si>
    <t xml:space="preserve">ИИ-экономист лист 06</t>
  </si>
  <si>
    <t xml:space="preserve">   Спецтехника / ГНБ сверх субподряда</t>
  </si>
  <si>
    <t xml:space="preserve">Аренда Курган</t>
  </si>
  <si>
    <t xml:space="preserve">   ТМЦ: недобор (+) / экономия Урал (−)</t>
  </si>
  <si>
    <t xml:space="preserve">ИИ-снабженец лист 06</t>
  </si>
  <si>
    <t xml:space="preserve">   Обеспечение (БГ) + стоимость капитала</t>
  </si>
  <si>
    <t xml:space="preserve">ИИ-договорник лист 07</t>
  </si>
  <si>
    <t xml:space="preserve">   Реиндекс 2025→2026 (некомп. часть)</t>
  </si>
  <si>
    <t xml:space="preserve">ИИ-сметчик лист 08</t>
  </si>
  <si>
    <t xml:space="preserve">   Простои «окна» РЖД / претензии</t>
  </si>
  <si>
    <t xml:space="preserve">ИИ-договорник лист 06</t>
  </si>
  <si>
    <t xml:space="preserve">   НДС-разрыв 20→22% (если «включая НДС»)</t>
  </si>
  <si>
    <t xml:space="preserve">ИИ-договорник лист 04</t>
  </si>
  <si>
    <t xml:space="preserve">ИТОГО СЕБЕСТОИМОСТЬ</t>
  </si>
  <si>
    <t xml:space="preserve">сумма статей выше</t>
  </si>
  <si>
    <t xml:space="preserve">ФИНАНСОВЫЙ РЕЗУЛЬТАТ</t>
  </si>
  <si>
    <t xml:space="preserve">Выручка − Себестоимость</t>
  </si>
  <si>
    <t xml:space="preserve">   Налог на прибыль (если прибыль)</t>
  </si>
  <si>
    <t xml:space="preserve">25% на положит. результат</t>
  </si>
  <si>
    <t xml:space="preserve">ЧИСТАЯ ПРИБЫЛЬ / УБЫТОК</t>
  </si>
  <si>
    <t xml:space="preserve">после налога</t>
  </si>
  <si>
    <t xml:space="preserve">  % чистой к выручке</t>
  </si>
  <si>
    <t xml:space="preserve">ЗАКЛЮЧЕНИЕ ИИ-ЭКОНОМИСТА ПО СЦЕНАРИЯМ</t>
  </si>
  <si>
    <t xml:space="preserve">ОПТИМИСТ ≈ +3,0 млн (+7,5%)</t>
  </si>
  <si>
    <t xml:space="preserve">Самовыполнение ЭОМ (забираем НР/СП), НДС «сверху», дисконт СОТ 7%, региональная ТМЦ, аттестация давальческая, простоев нет. Даже так — НИЖЕ целевых 8–9%.</t>
  </si>
  <si>
    <t xml:space="preserve">НОРМАЛЬНЫЙ ≈ +0,7 млн (+1,7%)</t>
  </si>
  <si>
    <t xml:space="preserve">Реалистичный база. Самовыполнение ЭОМ + субподряд СОТ 6% + АХР + ИД. Маржа у нуля — НИЖЕ красной линии 5%. Объект «на грани».</t>
  </si>
  <si>
    <t xml:space="preserve">ПЕССИМИСТ ≈ −10,6 млн (−26%)</t>
  </si>
  <si>
    <t xml:space="preserve">100% субподряд (не забрали НР/СП) + НДС «включая» + реиндекс + простои РЖД + недоучёт опор. Подписанный убыток.</t>
  </si>
  <si>
    <t xml:space="preserve">04_ПО ПОЗИЦИЯМ СМР/МОНТАЖ — ПАКЕТЫ П-1…П-4</t>
  </si>
  <si>
    <t xml:space="preserve">Потолок = сметная стоимость работ по ЛСР (ИИ-подрядчик). Себест и разница (маржа генподряда) — формулы из 02_Параметры по 3 сценариям.</t>
  </si>
  <si>
    <t xml:space="preserve">Пакет</t>
  </si>
  <si>
    <t xml:space="preserve">Объём работ</t>
  </si>
  <si>
    <t xml:space="preserve">Потолок ЛСР ₽</t>
  </si>
  <si>
    <t xml:space="preserve">Себест Опт</t>
  </si>
  <si>
    <t xml:space="preserve">Маржа Опт</t>
  </si>
  <si>
    <t xml:space="preserve">Себест Норм</t>
  </si>
  <si>
    <t xml:space="preserve">Маржа Норм</t>
  </si>
  <si>
    <t xml:space="preserve">Себест Пес</t>
  </si>
  <si>
    <t xml:space="preserve">Маржа Пес</t>
  </si>
  <si>
    <t xml:space="preserve">П-1</t>
  </si>
  <si>
    <t xml:space="preserve">ЭОМ: 133 опоры, фундаменты/анкеры, ГНБ-проколы 3 м, подвеска СИП-4 4,96 км, заземление, малый блок КС (поперечины)</t>
  </si>
  <si>
    <t xml:space="preserve">П-2</t>
  </si>
  <si>
    <t xml:space="preserve">СОТ: монтаж 191–202 камер, СКС, ВОЛС, РЛS Orwell-R, 36 коммутаторов, серверы СХД, ИБП (оборуд. давальческое)</t>
  </si>
  <si>
    <t xml:space="preserve">П-3</t>
  </si>
  <si>
    <t xml:space="preserve">ПНР СОТ + спецпроверки/специсследования ФСБ (категорир. помещения, ФЗ 5485-1)</t>
  </si>
  <si>
    <t xml:space="preserve">Σ</t>
  </si>
  <si>
    <t xml:space="preserve">ИТОГО РЕАЛЬНЫЙ ФРОНТ (П-1+П-2+П-3), сценарий Б</t>
  </si>
  <si>
    <t xml:space="preserve">П-4</t>
  </si>
  <si>
    <t xml:space="preserve">УСЛОВНО «вынос/возврат КС 27,5 кВ» — ТОЛЬКО если РЖД подтвердит. Не рынок → бригада ЭЧ ЮУЖД в «окна». В выручку/себест НЕ включён (лист 08)</t>
  </si>
  <si>
    <t xml:space="preserve">КАК ЧИТАТЬ. «Маржа» здесь = потолок ЛСР − себестоимость = вклад пакета в прибыль генподряда. В ОПТИМИСТ/НОРМАЛЬНЫЙ П-1 ЭОМ выполняется СВОИМИ силами (k≈0,78–0,79 от сметы) — забираем НР/СП, маржа ~5 млн. В ПЕССИМИСТ П-1 отдан в 100% субподряд (дисконт 5%) — забираем только ~1,2 млн. Это ГЛАВНЫЙ рычаг маржи объекта: на узком рынке (ФСБ/РЖД) субподряд даёт лишь 5–7% дисконта, а самовыполнение ЭОМ — 18–22%. П-2 СОТ и П-3 ПНР — всегда субподряд (лицензии ФСБ/ФСТЭК), маржа тонкая. Блок КС (П-4) в расчёт НЕ входит — это «воздух» до ответа РЖД (лист 08).</t>
  </si>
  <si>
    <t xml:space="preserve">05_РЕЕСТР ТМЦ НАШЕЙ ПОСТАВКИ — РЫНОК vs СМЕТА (источник: ИИ-снабженец, живые прайсы 03.08.2026)</t>
  </si>
  <si>
    <t xml:space="preserve">Материалы в РИМ «зашиты» в позиции (сметная база всего 1,86 млн). Ниже — реальная закупка с логистикой до ст. Зауралье (плечо ~2000 км от Москвы / ~350 км от Екб).</t>
  </si>
  <si>
    <t xml:space="preserve">Позиция ТМЦ</t>
  </si>
  <si>
    <t xml:space="preserve">Ед.</t>
  </si>
  <si>
    <t xml:space="preserve">Объём</t>
  </si>
  <si>
    <t xml:space="preserve">Цена мин ₽</t>
  </si>
  <si>
    <t xml:space="preserve">Цена макс ₽</t>
  </si>
  <si>
    <t xml:space="preserve">До объекта мин ₽</t>
  </si>
  <si>
    <t xml:space="preserve">До объекта макс ₽</t>
  </si>
  <si>
    <t xml:space="preserve">Средн. ₽</t>
  </si>
  <si>
    <t xml:space="preserve">Объём</t>
  </si>
  <si>
    <t xml:space="preserve">Примечание</t>
  </si>
  <si>
    <t xml:space="preserve">A. НАША ПОСТАВКА</t>
  </si>
  <si>
    <t xml:space="preserve">СИП-4 4×25 самонесущий</t>
  </si>
  <si>
    <t xml:space="preserve">м</t>
  </si>
  <si>
    <t xml:space="preserve">НАША</t>
  </si>
  <si>
    <t xml:space="preserve">Эталон РД: смета=кабельный журнал, Δ0,1%. Кабель.РФ/Энергосфера</t>
  </si>
  <si>
    <t xml:space="preserve">ВОК подвесной 8 вол. G.652.D</t>
  </si>
  <si>
    <t xml:space="preserve">Объём по кабельному журналу РД — уточнить</t>
  </si>
  <si>
    <t xml:space="preserve">Труба ПНД ПЭ100 D50</t>
  </si>
  <si>
    <t xml:space="preserve">Защита кабеля / проколы ГНБ 3 м</t>
  </si>
  <si>
    <t xml:space="preserve">Кабель ВВГнг(A)-LS (проводка б/к)</t>
  </si>
  <si>
    <t xml:space="preserve">компл</t>
  </si>
  <si>
    <t xml:space="preserve">Внутр. проводка аппаратной</t>
  </si>
  <si>
    <t xml:space="preserve">Прокат листовой Ст3</t>
  </si>
  <si>
    <t xml:space="preserve">т</t>
  </si>
  <si>
    <t xml:space="preserve">Смета 62 596 ₽/т — в рынке</t>
  </si>
  <si>
    <t xml:space="preserve">Анкер ж/б / фунд. блок под опору</t>
  </si>
  <si>
    <t xml:space="preserve">шт</t>
  </si>
  <si>
    <t xml:space="preserve">1 анкер на опору (ИИ-ГИП: корректно)</t>
  </si>
  <si>
    <t xml:space="preserve">Ригель/поперечина П-перехода</t>
  </si>
  <si>
    <t xml:space="preserve">Единств. обоснованное место работ у КС</t>
  </si>
  <si>
    <t xml:space="preserve">Плита дорожная ПДН 6×2 (под б/к)</t>
  </si>
  <si>
    <t xml:space="preserve">5,04 м³. Завод Екб</t>
  </si>
  <si>
    <t xml:space="preserve">Блок-контейнер сев. исп. 6×2,4</t>
  </si>
  <si>
    <t xml:space="preserve">ИИ-ГИП: чертёж 2 vs смета 1 — свести. −40°C</t>
  </si>
  <si>
    <t xml:space="preserve">Комплект заземления (полоса, клеммы 130, верт. 5)</t>
  </si>
  <si>
    <t xml:space="preserve">Противоречие РД (штыри vs УКЗУ) — уточнить</t>
  </si>
  <si>
    <t xml:space="preserve">Молниезащита/ОПН высоких опор у КС</t>
  </si>
  <si>
    <t xml:space="preserve">ИИ-ГИП: в РД НЕ отражена — резерв</t>
  </si>
  <si>
    <t xml:space="preserve">Арматура крепления СИП (на 133 опоры)</t>
  </si>
  <si>
    <t xml:space="preserve">Часть может быть «зашита» в расценке СИП</t>
  </si>
  <si>
    <t xml:space="preserve">Сплит-система (нар.+внутр.)</t>
  </si>
  <si>
    <t xml:space="preserve">Candy vs LG — свести. Обогрев при −40°C нереален</t>
  </si>
  <si>
    <t xml:space="preserve">Электроконвектор 1,5 кВт</t>
  </si>
  <si>
    <t xml:space="preserve">Есть в паспорте, нет в балансе нагрузок — добавить</t>
  </si>
  <si>
    <t xml:space="preserve">Криптошлюз ViPNet Coordinator HW</t>
  </si>
  <si>
    <t xml:space="preserve">НАША-СКЗИ</t>
  </si>
  <si>
    <t xml:space="preserve">Смета 1 386 845. Только партнёр ИнфоТеКС</t>
  </si>
  <si>
    <t xml:space="preserve">B. ОБЪЁМ ПОД ВОПРОСОМ (опоры)</t>
  </si>
  <si>
    <t xml:space="preserve">Опора металл. ≤0,6 т</t>
  </si>
  <si>
    <t xml:space="preserve">УТОЧНИТЬ</t>
  </si>
  <si>
    <t xml:space="preserve">🔴 наша/давальческое? Заводы Екб</t>
  </si>
  <si>
    <t xml:space="preserve">Опора металл. усиленная 0,6–1 т</t>
  </si>
  <si>
    <t xml:space="preserve">🔴 под ригели. Тот же объём-вопрос</t>
  </si>
  <si>
    <t xml:space="preserve">C. ДАВАЛЬЧЕСКОЕ (вне нашей поставки)</t>
  </si>
  <si>
    <t xml:space="preserve">«Железо» СОТ: 202 камеры, 2×СХД, 8×РЛС, 8×НЕО, 36 коммут., ИБП</t>
  </si>
  <si>
    <t xml:space="preserve">ДАВАЛЬЧ.</t>
  </si>
  <si>
    <t xml:space="preserve">🔴 поставка заказчика (контур ФСБ). Себест для нас = 0</t>
  </si>
  <si>
    <t xml:space="preserve">ИТОГО НАША ПОСТАВКА (без опор/железа), средн.</t>
  </si>
  <si>
    <t xml:space="preserve">ВЫВОД ИИ-ЭКОНОМИСТА ПО ТМЦ. Наша поставка (материалы ЭОМ + климатика + ViPNet), средняя с логистикой ≈ 5,3 млн — примерно паритет со сметной компенсацией (материалы 1,86 + оборуд 2,22 = 4,08 млн) + региональная экономия Урал (+0,3–0,6 млн). КЛЮЧ — два объём-вопроса, а не цена: (1) МЕТАЛЛ ОПОР 5–7,5 млн — если недоучтён и наш, прямой минус к марже; (2) «ЖЕЛЕЗО» СОТ 15,8–45,6 млн — почти наверняка давальческое (контур ФСБ). Если вдруг наше — объект глубоко убыточен без допсметы. До письменного разграничения объёма (ИИ-договорник) себестоимость ТМЦ недостоверна. В финансовый результат (лист 03) заложен паритет по ТМЦ нашей поставки; риск опор — в строке «ТМЦ недобор» пессимиста.</t>
  </si>
  <si>
    <t xml:space="preserve">06_АХР ГЕНПОДРЯДЧИКА — ШТАТ НА ОБЪЕКТ (зона ИИ-экономиста — коллеги не считали)</t>
  </si>
  <si>
    <t xml:space="preserve">Штат, который РЕАЛЬНО нужен генподряду на слаботочку+электрику на действ. ж/д под режимом ФСБ. Активная фаза 6 мес. ПТО/ИД-инженер — в стоимости ИД (лист 07), здесь НЕ дублируется.</t>
  </si>
  <si>
    <t xml:space="preserve">Активная фаза (мес) — управляющая ячейка</t>
  </si>
  <si>
    <t xml:space="preserve">Срок в документах не задан (флаг ИИ-руководителя проекта). Принято 6 мес (ИИ-ПТО оценивал 5). «Окна» РЖД растягивают график.</t>
  </si>
  <si>
    <t xml:space="preserve">Роль в генподряде</t>
  </si>
  <si>
    <t xml:space="preserve">Ставка ₽/мес</t>
  </si>
  <si>
    <t xml:space="preserve">Загрузка</t>
  </si>
  <si>
    <t xml:space="preserve">Мес</t>
  </si>
  <si>
    <t xml:space="preserve">ФОТ ₽</t>
  </si>
  <si>
    <t xml:space="preserve">Обоснование</t>
  </si>
  <si>
    <t xml:space="preserve">Руководитель проекта / нач. участка</t>
  </si>
  <si>
    <t xml:space="preserve">РП, решения, отношения с заказчиком/РЖД. Распределён между объектами</t>
  </si>
  <si>
    <t xml:space="preserve">Производитель работ (прораб), вахта</t>
  </si>
  <si>
    <t xml:space="preserve">Постоянно на объекте: координация субподряда, приёмка, наряды-допуски</t>
  </si>
  <si>
    <t xml:space="preserve">Инженер ОТ и ТБ + допуски РЖД/режим ФСБ</t>
  </si>
  <si>
    <t xml:space="preserve">Наряды-допуски, «окна», ПОТ ЭЭУ, режимные допуски категорир. объекта</t>
  </si>
  <si>
    <t xml:space="preserve">Инженер по снабжению / логистике</t>
  </si>
  <si>
    <t xml:space="preserve">ТМЦ до ст. Зауралье (плечо 2000 км), давальческое от заказчика</t>
  </si>
  <si>
    <t xml:space="preserve">Экономист / оформление КС-2, КС-3</t>
  </si>
  <si>
    <t xml:space="preserve">Актирование, сходимость, недопуск блока КС в акты (с ИИ-ПТО)</t>
  </si>
  <si>
    <t xml:space="preserve">ИТОГО ФОТ штата ГП</t>
  </si>
  <si>
    <t xml:space="preserve">Страховые взносы (~30% на ФОТ)</t>
  </si>
  <si>
    <t xml:space="preserve">Тариф взносов ~30%</t>
  </si>
  <si>
    <t xml:space="preserve">Вахта/командировки (проживание, проезд, суточные)</t>
  </si>
  <si>
    <t xml:space="preserve">Объект 2000 км от центра; 2–3 чел вахтой 6 мес</t>
  </si>
  <si>
    <t xml:space="preserve">Офис/связь/ПО (ГРАНД-Смета, ЭДО ИД)/транспорт</t>
  </si>
  <si>
    <t xml:space="preserve">Оргтехника, ПО, аренда авто на объекте</t>
  </si>
  <si>
    <t xml:space="preserve">ИТОГО АХР ГЕНПОДРЯДА (НОРМАЛЬНЫЙ), ₽</t>
  </si>
  <si>
    <t xml:space="preserve">СВЯЗЬ С финансовый результат. Этот итог (нормальный) подставлен в 02_Параметры → АХР. Оптимист = ×0,75 (лидер распределён, короче срок, меньше вахты). Пессимист = ×1,30 (растянутый график из-за «окон» РЖД, полная вахта). ВАЖНО: сметные накладные расходы (НР) 26,96 млн формально должны покрывать АХР — НО на этом объекте почти весь НР «сидит» в цене субподряда (субподрядчик держит свой НР). Наш генподрядный АХР ~3,6 млн — это РЕАЛЬНЫЙ денежные средства-расход, который покрывается только дисконтом + сметной прибылью. Именно он съедает тонкую маржу — коллеги его не учли.</t>
  </si>
  <si>
    <t xml:space="preserve">07_СТОИМОСТЬ ПРОИЗВОДСТВА ИД — ПО ПОЗИЦИЯМ (источник: ИИ-ПТО, ПТО)</t>
  </si>
  <si>
    <t xml:space="preserve">Что реально стоит «сделать ИД» на объекте под ж/д + режим ФСБ. Ключ: что НЕ выделено в смете и давит на маржу.</t>
  </si>
  <si>
    <t xml:space="preserve">Компонент производства ИД</t>
  </si>
  <si>
    <t xml:space="preserve">Кол-во/ед</t>
  </si>
  <si>
    <t xml:space="preserve">Ставка ₽</t>
  </si>
  <si>
    <t xml:space="preserve">Сумма ₽</t>
  </si>
  <si>
    <t xml:space="preserve">В смете?</t>
  </si>
  <si>
    <t xml:space="preserve">A. Своими силами (труд ПТО/ИД)</t>
  </si>
  <si>
    <t xml:space="preserve">ПТО/ИД-инженер (реестр ИД, АОСР, журналы)</t>
  </si>
  <si>
    <t xml:space="preserve">5 чел·мес</t>
  </si>
  <si>
    <t xml:space="preserve">в НР</t>
  </si>
  <si>
    <t xml:space="preserve">Не дублируется с АХР (лист 06 без ПТО)</t>
  </si>
  <si>
    <t xml:space="preserve">Инженер-геодезист (исполнит. съёмки опор/ГНБ/плит)</t>
  </si>
  <si>
    <t xml:space="preserve">1 компл</t>
  </si>
  <si>
    <t xml:space="preserve">⚠ част.</t>
  </si>
  <si>
    <t xml:space="preserve">Привлечённая организация/свой — уточнить</t>
  </si>
  <si>
    <t xml:space="preserve">B. Привлечённые услуги</t>
  </si>
  <si>
    <t xml:space="preserve">Аккредит. электролаборатория (ЭТЛ)</t>
  </si>
  <si>
    <t xml:space="preserve">🔴 НЕТ</t>
  </si>
  <si>
    <t xml:space="preserve">Изоляция, петля фаза-ноль, ЗУ, СИП. Условие старта</t>
  </si>
  <si>
    <t xml:space="preserve">Оптические измерения ВОЛС (рефлектометрия)</t>
  </si>
  <si>
    <t xml:space="preserve">Паспорт ВОЛС по одномод. ВОК СОТ</t>
  </si>
  <si>
    <t xml:space="preserve">Спецпроверки/специсследования ФСБ (СП и СИ)</t>
  </si>
  <si>
    <t xml:space="preserve">✅ Гл.9</t>
  </si>
  <si>
    <t xml:space="preserve">В СМЕТЕ (ЛСР 09-02) — НЕ сверх сметы</t>
  </si>
  <si>
    <t xml:space="preserve">Аттестация объекта информатизации (ФСТЭК-77)</t>
  </si>
  <si>
    <t xml:space="preserve">🟨 ?</t>
  </si>
  <si>
    <t xml:space="preserve">ОБЪЁМ ПОД ВОПРОСОМ: наш или заказчик</t>
  </si>
  <si>
    <t xml:space="preserve">C. Электронная ИД + комплектация</t>
  </si>
  <si>
    <t xml:space="preserve">Электронная ИД (ГОСТ Р 70108-2025): XML, ЭЦП</t>
  </si>
  <si>
    <t xml:space="preserve">Часто система заказчика</t>
  </si>
  <si>
    <t xml:space="preserve">Комплектация ИД (печать, сшивка, копии)</t>
  </si>
  <si>
    <t xml:space="preserve">Число экз — из договора</t>
  </si>
  <si>
    <t xml:space="preserve">ИТОГО производство ИД (всё, вкл. в смете)</t>
  </si>
  <si>
    <t xml:space="preserve">  из них УЖЕ В СМЕТЕ (СП и СИ, Гл.9)</t>
  </si>
  <si>
    <t xml:space="preserve">СВЕРХ СМЕТЫ — не выделено в ЛСР (🔴 съедает маржу)</t>
  </si>
  <si>
    <t xml:space="preserve">СВЯЗЬ С финансовый результат. «Сверх сметы» ≈ 1,78 млн (нормальный) подставлено в 02_Параметры → ИД сверх сметы. Оптимист 1,50 млн (аттестация ФСТЭК давальческая, электронная ИД — система заказчика). Пессимист 2,13 млн (аттестация ФСТЭК наша). Это 4,8% реального фронта — ориентир ИД для слаботочки+электрики под режимом 3–6%, в норме, но на объекте у красной линии 5% — прямое давление на прибыль.</t>
  </si>
  <si>
    <t xml:space="preserve">08_БЛОК «ВЫНОС/ВОЗВРАТ КС» 64,71 млн — ГЛАВНЫЙ РИСК ОБЪЕКТА</t>
  </si>
  <si>
    <t xml:space="preserve">ИИ-ГИП+ИИ-сметчик вернули ВОР: 200 км в смете при физике ~17 км (кратность 11×). На КС-2 закрыть нельзя. Разбор 3 судеб.</t>
  </si>
  <si>
    <t xml:space="preserve">ДЕНЕЖНЫЙ ВЕС БЛОКА (из ЛСР ЭОМ, ИИ-сметчик лист 05)</t>
  </si>
  <si>
    <t xml:space="preserve">Показатель</t>
  </si>
  <si>
    <t xml:space="preserve">Итого большой блок «вынос КС» (198 км)</t>
  </si>
  <si>
    <t xml:space="preserve">🔴 «воздух» до ответа РЖД</t>
  </si>
  <si>
    <t xml:space="preserve">  в т.ч. НР на блоке КС</t>
  </si>
  <si>
    <t xml:space="preserve">пр.812/пр</t>
  </si>
  <si>
    <t xml:space="preserve">  в т.ч. СП на блоке КС</t>
  </si>
  <si>
    <t xml:space="preserve">пр.774/пр</t>
  </si>
  <si>
    <t xml:space="preserve">Малый блок (поперечины П-перехода) — ОБОСНОВАН</t>
  </si>
  <si>
    <t xml:space="preserve">✅ в реальном фронте П-1</t>
  </si>
  <si>
    <t xml:space="preserve">Заземление опор — ОБОСНОВАНО</t>
  </si>
  <si>
    <t xml:space="preserve">✅ не часть выноса</t>
  </si>
  <si>
    <t xml:space="preserve">ТРИ СУДЬБЫ БЛОКА КС (знак маржи объекта определяет именно это)</t>
  </si>
  <si>
    <t xml:space="preserve">Сценарий судьбы КС</t>
  </si>
  <si>
    <t xml:space="preserve">А. РЖД подтвердил вынос</t>
  </si>
  <si>
    <t xml:space="preserve">Б. Объём снят (аудит Гл.12)</t>
  </si>
  <si>
    <t xml:space="preserve">В. Тверд. цена, не делаем</t>
  </si>
  <si>
    <t xml:space="preserve">Комментарий ИИ-экономиста</t>
  </si>
  <si>
    <t xml:space="preserve">Собираемая выручка блока КС, ₽</t>
  </si>
  <si>
    <t xml:space="preserve">В: деньги за невыполненный вынос НЕ поступят</t>
  </si>
  <si>
    <t xml:space="preserve">Реальная себест. выноса (окна ЭЧ РЖД), ₽</t>
  </si>
  <si>
    <t xml:space="preserve">А: реальная работа бригадой ЭЧ + простои</t>
  </si>
  <si>
    <t xml:space="preserve">Маржа на блоке КС, ₽</t>
  </si>
  <si>
    <t xml:space="preserve">А: тонкая, риск простоев; Б: нейтрально; В: минус</t>
  </si>
  <si>
    <t xml:space="preserve">Влияние на объект</t>
  </si>
  <si>
    <t xml:space="preserve">риск простоев</t>
  </si>
  <si>
    <t xml:space="preserve">БАЗОВЫЙ</t>
  </si>
  <si>
    <t xml:space="preserve">убыток −5,3 млн</t>
  </si>
  <si>
    <t xml:space="preserve">Строим по Б (консенсус конвейера)</t>
  </si>
  <si>
    <t xml:space="preserve">ВЫВОД ИИ-ЭКОНОМИСТА. Блок КС — не «жирок», а бомба. В моём финансовый результат (лист 03) он ИСКЛЮЧЁН из выручки и себестоимости — считаю по сценарию Б (весь конвейер согласен). Категорически нельзя строить финмодель на блоке КС как на выручке: (1) физически 200 км нет; (2) работать на КС 27,5 кВ вправе только ЭЧ РЖД; (3) невыполненный вынос нельзя актировать в КС-2 → сценарий В = −5,3 млн + риск фиктивных актов (ст.159 УК, флаг ИИ-договорника). Действие ИИ-руководителя проекта: официальный запрос в РЖД/Заказчику о фактически требуемом выносе + чистка блока из НМЦК через ценовой аудит Гл.12 ДО подписания.</t>
  </si>
  <si>
    <t xml:space="preserve">09_СКВОЗНЫЕ ВЫЧЕТЫ И ФИНУСЛОВИЯ</t>
  </si>
  <si>
    <t xml:space="preserve">Факторы, которые не привязаны к конкретной позиции, но меняют финрезультат. Каждый — в рублях (Протокол 3).</t>
  </si>
  <si>
    <t xml:space="preserve">1. НДС 20% → 22% (ФЗ №425-ФЗ от 28.11.2025) — флаг 1</t>
  </si>
  <si>
    <t xml:space="preserve">Гл.1-9 без НДС (база)</t>
  </si>
  <si>
    <t xml:space="preserve">ССРСС / ИИ-сметчик</t>
  </si>
  <si>
    <t xml:space="preserve">НДС в смете (20%)</t>
  </si>
  <si>
    <t xml:space="preserve">смета в старой ставке</t>
  </si>
  <si>
    <t xml:space="preserve">НДС фактический (22%, работы 2026)</t>
  </si>
  <si>
    <t xml:space="preserve">ФЗ 425-ФЗ</t>
  </si>
  <si>
    <t xml:space="preserve">НЕДОБОР при цене «включая НДС 20%»</t>
  </si>
  <si>
    <t xml:space="preserve">≈2,14 млн — съедает подрядчик</t>
  </si>
  <si>
    <t xml:space="preserve">ПОЗИЦИЯ (ИИ-договорник): договора нет → заходим с формулой «Цена работ ___, кроме того НДС по ставке на дату реализации». НДС «сверху» → рост ставки на заказчике, риск 2,14 млн снят. В финансовый результат: оптимист/нормальный = 0, пессимист = 2,14 млн.</t>
  </si>
  <si>
    <t xml:space="preserve">2. Двойной счёт ПНР (ИИ-сметчик лист 04)</t>
  </si>
  <si>
    <t xml:space="preserve">ПНР дублирована: строка в ЛСР СОТ = отдельный ЛСР 09-01</t>
  </si>
  <si>
    <t xml:space="preserve">Воздух в НМЦК; с непредв+НДС ≈ 1,09 млн. Снимается ст.94 44-ФЗ. В выручку Б НЕ включён.</t>
  </si>
  <si>
    <t xml:space="preserve">3. Реиндекс II кв.2025 → 2026 (ИИ-сметчик лист 08) — флаг 7</t>
  </si>
  <si>
    <t xml:space="preserve">База СМР+монтаж без НДС (II кв.2025)</t>
  </si>
  <si>
    <t xml:space="preserve">Дефлятор СМР ~5%/год. Удорожание себест. ~5,0 млн на полном объёме; на реальном фронте ~0,5–1,5 млн. Компенсируется индексацией контракта — если прописано.</t>
  </si>
  <si>
    <t xml:space="preserve">4. Обеспечение: БГ vs ГУ + аванс (ИИ-договорник лист 07)</t>
  </si>
  <si>
    <t xml:space="preserve">НМЦК (база обеспечения)</t>
  </si>
  <si>
    <t xml:space="preserve">с НДС</t>
  </si>
  <si>
    <t xml:space="preserve">Гарантийное удержание 5% (вне оборота)</t>
  </si>
  <si>
    <t xml:space="preserve">≈6,42 млн заморожено</t>
  </si>
  <si>
    <t xml:space="preserve">Стоимость БГ (1,5%/год × 1,5 года)</t>
  </si>
  <si>
    <t xml:space="preserve">комиссия банка</t>
  </si>
  <si>
    <t xml:space="preserve">Эффект замены ГУ→БГ (высвобождение − комиссия)</t>
  </si>
  <si>
    <t xml:space="preserve">≈3,53 млн высвобождено</t>
  </si>
  <si>
    <t xml:space="preserve">Аванс критичен для кассы: при отсутствии аванса и оплата субподрядчику после оплаты заказчиком с субподрядом — кассовый разрыв. ИИ-договорник: добиваться max аванса + БГ вместо ГУ.</t>
  </si>
  <si>
    <t xml:space="preserve">5. 🔴 РЕЖИМ ГОЗ / 275-ФЗ (новый флаг ИИ-договорника) — критично для финмодели</t>
  </si>
  <si>
    <t xml:space="preserve">Заказчик — интересант ПУ ФСБ (погранпункт, гостайна). Высокая вероятность ГОЗ (275-ФЗ) или закрытой закупки. Это МЕНЯЕТ ВСЮ ФИНМОДЕЛЬ: (1) отдельный счёт в уполномоченном банке + банковское/казначейское сопровождение; (2) РАЗДЕЛЬНЫЙ УЧЁТ по каждому контракту; (3) ПРАВИЛО РЕНТАБЕЛЬНОСТИ «1% + 20%» — прибыль ограничена 1% привнесённых затрат (субподряд/ТМЦ) + 20% собственных затрат; (4) лицензии ФСБ/ФСТЭК. На тонкой марже правило «1%+20%» скорее НЕ ограничивает (мы ниже потолка), но раздельный учёт и уполномоченный банк резко усложняют движение денежных средств и удорожают админ. ДЕЙСТВИЕ: ИИ-договорник — установить режим закупки ДО подписания; я пересчитаю финмодель под ГОЗ, если подтвердится.</t>
  </si>
  <si>
    <t xml:space="preserve">10_ПЕРЕДАЧИ СМЕЖНИКАМ + ФИНАНСОВЫЙ АЛЕРТ ИИ-РУКОВОДИТЕЛЮ ПРОЕКТА</t>
  </si>
  <si>
    <t xml:space="preserve">🚨 ФИНАНСОВЫЙ АЛЕРТ | 03.08.2026 | ЖДПП «Зауралье»</t>
  </si>
  <si>
    <t xml:space="preserve">СИТУАЦИЯ: свёл себестоимость по всему конвейеру. Валовая оценка коллег (+14%) не выдерживает вычета реальной цены субподряда + АХР генподряда + ИД. ЦИФРЫ: базовый сценарий −0,26 млн (−0,6%), НИЖЕ красной линии 5%. Оптимист +2,79 млн (+7,0%, самовыполнение ЭОМ), пессимист −10,95 млн (−27%). ВАРИАНТЫ: (1) не подавать до разрешения блока КС/объёма/НДС — рекомендую; (2) подавать только с самовыполнением ЭОМ + «НДС сверху» + давальческим оборуд.; (3) отказ, если заказчик держит блок КС или навязывает поставку железа. РЕКОМЕНДУЮ вариант 1. НУЖНО РЕШЕНИЕ ИИ-РУКОВОДИТЕЛЯ ПРОЕКТА до подачи на закупку.</t>
  </si>
  <si>
    <t xml:space="preserve">ЧТО НЕСУ ДАЛЬШЕ ПО КОНВЕЙЕРУ</t>
  </si>
  <si>
    <t xml:space="preserve">Кому</t>
  </si>
  <si>
    <t xml:space="preserve">Задача с денежным эффектом</t>
  </si>
  <si>
    <t xml:space="preserve">→ ИИ-руководителю проекта (РП)</t>
  </si>
  <si>
    <t xml:space="preserve">Заключение: базовый сценарий у красной линии (−0,6%). Брать только при 3 условиях (лист 00). Прибыль концентрируется на самовыполнении ЭОМ — держать этот пакет своими силами, не отдавать в дорогой субподряд.</t>
  </si>
  <si>
    <t xml:space="preserve">→ ИИ-договорнику (Договор)</t>
  </si>
  <si>
    <t xml:space="preserve">КРИТ: (1) НДС «сверху» (−2,14 млн риска); (2) установить режим ГОЗ/275-ФЗ — меняет мою финмодель (уполномоченный банк, «1%+20%»); (3) объём оборуд./опор — давальческое письменно; (4) аванс max + БГ вместо ГУ (+3,53 млн оборотки); (5) чистка блока КС из НМЦК.</t>
  </si>
  <si>
    <t xml:space="preserve">→ ИИ-сметчику (Смета)</t>
  </si>
  <si>
    <t xml:space="preserve">Подтверждаю: реальный фронт 37,15 млн, блок КС 64,71 млн — воздух. Прошу пересчёт ВОР на дату работ 2026 (реиндекс ~5%) и точную раскладку НР/СП на реальном фронте — от неё зависит выгода самовыполнения ЭОМ.</t>
  </si>
  <si>
    <t xml:space="preserve">→ ИИ-снабженцу (Снаб)</t>
  </si>
  <si>
    <t xml:space="preserve">Держу ТМЦ нашей поставки паритетом (~5,3 млн). Жду 3 КП по СИП-4, ВОК, опорам с логистикой до ст. Зауралье. Критично: письменный статус объёма «железа» СОТ и металла опор — от этого знак маржи.</t>
  </si>
  <si>
    <t xml:space="preserve">→ ИИ-подрядчику (Подряд)</t>
  </si>
  <si>
    <t xml:space="preserve">Потолки переданы (лист 04): П-1 ЭОМ 24,82 (рассматриваем самовыполнение!), П-2 СОТ 11,09 (субподряд, лицензиат ФСБ), П-3 1,25. Дисконт 6% = +2,23 млн — критический рычаг. Спецтехника — аренда Курган (подтверждаю).</t>
  </si>
  <si>
    <t xml:space="preserve">→ ИИ-ПТО (ПТО)</t>
  </si>
  <si>
    <t xml:space="preserve">Стоимость ИД сверх сметы 1,78 млн заложил в себестоимость явно (не в НР). Держи недопуск блока КС в АОСР/КС-2. Уточни объём аттестации ФСТЭК — двигает цифру ИД на ±0,3 млн.</t>
  </si>
  <si>
    <t xml:space="preserve">→ ИИ-администратору (Админ)</t>
  </si>
  <si>
    <t xml:space="preserve">В реестр: статус себеса — 🔴/🟡 (маржа у красной линии). 3 блокирующих условия с ответственными. Следующий шаг ИИ-экономиста — БДДС после получения договора (аванс, график).</t>
  </si>
  <si>
    <t xml:space="preserve">ИИ-экономист · СтройИнтеллект.Эконом v8.2 · 03.08.2026. Точность ±15% (нет договора и РД). Финмодель БДДС — Такт 2 после договора. «Лучше показать убыток сейчас, чем встретить через 6 месяцев.»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</si>
</sst>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"/>
    <numFmt numFmtId="168" formatCode="0"/>
    <numFmt numFmtId="169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FF0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sz val="9"/>
      <color rgb="FFFF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C00000"/>
        <bgColor rgb="FFFF0000"/>
      </patternFill>
    </fill>
    <fill>
      <patternFill patternType="solid">
        <fgColor rgb="FF548235"/>
        <bgColor rgb="FF339966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54"/>
    <col collapsed="false" customWidth="true" hidden="false" outlineLevel="0" max="4" min="4" style="1" width="20"/>
  </cols>
  <sheetData>
    <row r="1" customFormat="false" ht="24" hidden="false" customHeight="true" outlineLevel="0" collapsed="false">
      <c r="A1" s="2" t="s">
        <v>0</v>
      </c>
      <c r="B1" s="2"/>
      <c r="C1" s="2"/>
      <c r="D1" s="2"/>
    </row>
    <row r="2" customFormat="false" ht="24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4"/>
      <c r="B5" s="4"/>
      <c r="C5" s="4"/>
      <c r="D5" s="4"/>
    </row>
    <row r="6" customFormat="false" ht="15" hidden="false" customHeight="true" outlineLevel="0" collapsed="false">
      <c r="A6" s="4"/>
      <c r="B6" s="4"/>
      <c r="C6" s="4"/>
      <c r="D6" s="4"/>
    </row>
    <row r="8" customFormat="false" ht="15" hidden="false" customHeight="true" outlineLevel="0" collapsed="false">
      <c r="A8" s="5" t="s">
        <v>3</v>
      </c>
      <c r="B8" s="5"/>
      <c r="C8" s="5"/>
      <c r="D8" s="5"/>
    </row>
    <row r="9" customFormat="false" ht="15" hidden="false" customHeight="true" outlineLevel="0" collapsed="false">
      <c r="A9" s="6" t="s">
        <v>4</v>
      </c>
      <c r="B9" s="6"/>
      <c r="C9" s="6"/>
      <c r="D9" s="6"/>
    </row>
    <row r="10" customFormat="false" ht="15" hidden="false" customHeight="true" outlineLevel="0" collapsed="false">
      <c r="A10" s="6"/>
      <c r="B10" s="6"/>
      <c r="C10" s="6"/>
      <c r="D10" s="6"/>
    </row>
    <row r="11" customFormat="false" ht="15" hidden="false" customHeight="true" outlineLevel="0" collapsed="false">
      <c r="A11" s="6"/>
      <c r="B11" s="6"/>
      <c r="C11" s="6"/>
      <c r="D11" s="6"/>
    </row>
    <row r="12" customFormat="false" ht="15" hidden="false" customHeight="true" outlineLevel="0" collapsed="false">
      <c r="A12" s="6"/>
      <c r="B12" s="6"/>
      <c r="C12" s="6"/>
      <c r="D12" s="6"/>
    </row>
    <row r="13" customFormat="false" ht="15" hidden="false" customHeight="true" outlineLevel="0" collapsed="false">
      <c r="A13" s="6"/>
      <c r="B13" s="6"/>
      <c r="C13" s="6"/>
      <c r="D13" s="6"/>
    </row>
    <row r="15" customFormat="false" ht="15" hidden="false" customHeight="true" outlineLevel="0" collapsed="false">
      <c r="A15" s="3" t="s">
        <v>5</v>
      </c>
      <c r="B15" s="3"/>
      <c r="C15" s="3"/>
      <c r="D15" s="3"/>
    </row>
    <row r="16" customFormat="false" ht="15" hidden="false" customHeight="true" outlineLevel="0" collapsed="false">
      <c r="B16" s="7" t="s">
        <v>6</v>
      </c>
      <c r="C16" s="7" t="s">
        <v>7</v>
      </c>
      <c r="D16" s="7" t="s">
        <v>8</v>
      </c>
    </row>
    <row r="17" customFormat="false" ht="30" hidden="false" customHeight="true" outlineLevel="0" collapsed="false">
      <c r="B17" s="8" t="s">
        <v>9</v>
      </c>
      <c r="C17" s="9" t="s">
        <v>10</v>
      </c>
      <c r="D17" s="10" t="s">
        <v>11</v>
      </c>
    </row>
    <row r="18" customFormat="false" ht="30" hidden="false" customHeight="true" outlineLevel="0" collapsed="false">
      <c r="B18" s="8" t="s">
        <v>12</v>
      </c>
      <c r="C18" s="9" t="s">
        <v>13</v>
      </c>
      <c r="D18" s="10" t="s">
        <v>14</v>
      </c>
    </row>
    <row r="19" customFormat="false" ht="30" hidden="false" customHeight="true" outlineLevel="0" collapsed="false">
      <c r="B19" s="8" t="s">
        <v>15</v>
      </c>
      <c r="C19" s="9" t="s">
        <v>16</v>
      </c>
      <c r="D19" s="10" t="s">
        <v>17</v>
      </c>
    </row>
    <row r="20" customFormat="false" ht="30" hidden="false" customHeight="true" outlineLevel="0" collapsed="false">
      <c r="B20" s="8" t="s">
        <v>18</v>
      </c>
      <c r="C20" s="9" t="s">
        <v>19</v>
      </c>
      <c r="D20" s="10" t="s">
        <v>20</v>
      </c>
    </row>
    <row r="21" customFormat="false" ht="30" hidden="false" customHeight="true" outlineLevel="0" collapsed="false">
      <c r="B21" s="8" t="s">
        <v>21</v>
      </c>
      <c r="C21" s="9" t="s">
        <v>22</v>
      </c>
      <c r="D21" s="10" t="s">
        <v>23</v>
      </c>
    </row>
    <row r="22" customFormat="false" ht="30" hidden="false" customHeight="true" outlineLevel="0" collapsed="false">
      <c r="B22" s="8" t="s">
        <v>24</v>
      </c>
      <c r="C22" s="9" t="s">
        <v>25</v>
      </c>
      <c r="D22" s="10" t="s">
        <v>26</v>
      </c>
    </row>
    <row r="23" customFormat="false" ht="30" hidden="false" customHeight="true" outlineLevel="0" collapsed="false">
      <c r="B23" s="8" t="s">
        <v>27</v>
      </c>
      <c r="C23" s="9" t="s">
        <v>28</v>
      </c>
      <c r="D23" s="10" t="s">
        <v>29</v>
      </c>
    </row>
    <row r="24" customFormat="false" ht="30" hidden="false" customHeight="true" outlineLevel="0" collapsed="false">
      <c r="B24" s="8" t="s">
        <v>30</v>
      </c>
      <c r="C24" s="9" t="s">
        <v>31</v>
      </c>
      <c r="D24" s="10" t="s">
        <v>32</v>
      </c>
    </row>
    <row r="25" customFormat="false" ht="30" hidden="false" customHeight="true" outlineLevel="0" collapsed="false">
      <c r="B25" s="8" t="s">
        <v>33</v>
      </c>
      <c r="C25" s="9" t="s">
        <v>34</v>
      </c>
      <c r="D25" s="10" t="s">
        <v>35</v>
      </c>
    </row>
    <row r="26" customFormat="false" ht="30" hidden="false" customHeight="true" outlineLevel="0" collapsed="false">
      <c r="B26" s="8" t="s">
        <v>36</v>
      </c>
      <c r="C26" s="9" t="s">
        <v>37</v>
      </c>
      <c r="D26" s="10" t="s">
        <v>38</v>
      </c>
    </row>
    <row r="27" customFormat="false" ht="30" hidden="false" customHeight="true" outlineLevel="0" collapsed="false">
      <c r="B27" s="8" t="s">
        <v>39</v>
      </c>
      <c r="C27" s="9" t="s">
        <v>40</v>
      </c>
      <c r="D27" s="10" t="s">
        <v>41</v>
      </c>
    </row>
    <row r="29" customFormat="false" ht="15" hidden="false" customHeight="true" outlineLevel="0" collapsed="false">
      <c r="A29" s="11" t="s">
        <v>42</v>
      </c>
      <c r="B29" s="11"/>
      <c r="C29" s="11"/>
      <c r="D29" s="11"/>
    </row>
    <row r="30" customFormat="false" ht="15" hidden="false" customHeight="true" outlineLevel="0" collapsed="false">
      <c r="B30" s="12" t="s">
        <v>43</v>
      </c>
      <c r="C30" s="9" t="s">
        <v>44</v>
      </c>
      <c r="D30" s="9"/>
    </row>
    <row r="31" customFormat="false" ht="15" hidden="false" customHeight="true" outlineLevel="0" collapsed="false">
      <c r="B31" s="12" t="s">
        <v>45</v>
      </c>
      <c r="C31" s="9" t="s">
        <v>46</v>
      </c>
      <c r="D31" s="9"/>
    </row>
    <row r="32" customFormat="false" ht="15" hidden="false" customHeight="true" outlineLevel="0" collapsed="false">
      <c r="B32" s="12" t="s">
        <v>47</v>
      </c>
      <c r="C32" s="9" t="s">
        <v>48</v>
      </c>
      <c r="D32" s="9"/>
    </row>
    <row r="33" customFormat="false" ht="15" hidden="false" customHeight="true" outlineLevel="0" collapsed="false">
      <c r="B33" s="12" t="s">
        <v>49</v>
      </c>
      <c r="C33" s="9" t="s">
        <v>50</v>
      </c>
      <c r="D33" s="9"/>
    </row>
    <row r="34" customFormat="false" ht="15" hidden="false" customHeight="true" outlineLevel="0" collapsed="false">
      <c r="B34" s="12" t="s">
        <v>51</v>
      </c>
      <c r="C34" s="9" t="s">
        <v>52</v>
      </c>
      <c r="D34" s="9"/>
    </row>
  </sheetData>
  <mergeCells count="12">
    <mergeCell ref="A1:D1"/>
    <mergeCell ref="A2:D2"/>
    <mergeCell ref="A4:D6"/>
    <mergeCell ref="A8:D8"/>
    <mergeCell ref="A9:D13"/>
    <mergeCell ref="A15:D15"/>
    <mergeCell ref="A29:D29"/>
    <mergeCell ref="C30:D30"/>
    <mergeCell ref="C31:D31"/>
    <mergeCell ref="C32:D32"/>
    <mergeCell ref="C33:D33"/>
    <mergeCell ref="C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5" min="3" style="1" width="18"/>
    <col collapsed="false" customWidth="true" hidden="false" outlineLevel="0" max="6" min="6" style="1" width="40"/>
  </cols>
  <sheetData>
    <row r="1" customFormat="false" ht="24" hidden="false" customHeight="true" outlineLevel="0" collapsed="false">
      <c r="A1" s="2" t="s">
        <v>53</v>
      </c>
      <c r="B1" s="2"/>
      <c r="C1" s="2"/>
      <c r="D1" s="2"/>
      <c r="E1" s="2"/>
      <c r="F1" s="2"/>
    </row>
    <row r="2" customFormat="false" ht="24" hidden="false" customHeight="true" outlineLevel="0" collapsed="false">
      <c r="A2" s="3" t="s">
        <v>54</v>
      </c>
      <c r="B2" s="3"/>
      <c r="C2" s="3"/>
      <c r="D2" s="3"/>
      <c r="E2" s="3"/>
      <c r="F2" s="3"/>
    </row>
    <row r="3" customFormat="false" ht="21.75" hidden="false" customHeight="true" outlineLevel="0" collapsed="false">
      <c r="A3" s="13" t="s">
        <v>55</v>
      </c>
      <c r="B3" s="13"/>
      <c r="C3" s="13"/>
      <c r="D3" s="13"/>
      <c r="E3" s="13"/>
      <c r="F3" s="13"/>
    </row>
    <row r="4" customFormat="false" ht="21.75" hidden="false" customHeight="true" outlineLevel="0" collapsed="false">
      <c r="A4" s="13"/>
      <c r="B4" s="13"/>
      <c r="C4" s="13"/>
      <c r="D4" s="13"/>
      <c r="E4" s="13"/>
      <c r="F4" s="13"/>
    </row>
    <row r="6" customFormat="false" ht="15" hidden="false" customHeight="true" outlineLevel="0" collapsed="false">
      <c r="A6" s="5" t="s">
        <v>56</v>
      </c>
      <c r="B6" s="5"/>
      <c r="C6" s="5"/>
      <c r="D6" s="5"/>
      <c r="E6" s="5"/>
      <c r="F6" s="5"/>
    </row>
    <row r="7" customFormat="false" ht="45.75" hidden="false" customHeight="true" outlineLevel="0" collapsed="false">
      <c r="B7" s="14" t="s">
        <v>57</v>
      </c>
      <c r="C7" s="15" t="s">
        <v>58</v>
      </c>
      <c r="D7" s="15"/>
      <c r="E7" s="15"/>
      <c r="F7" s="15"/>
    </row>
    <row r="8" customFormat="false" ht="45.75" hidden="false" customHeight="true" outlineLevel="0" collapsed="false">
      <c r="B8" s="14" t="s">
        <v>59</v>
      </c>
      <c r="C8" s="15" t="s">
        <v>60</v>
      </c>
      <c r="D8" s="15"/>
      <c r="E8" s="15"/>
      <c r="F8" s="15"/>
    </row>
    <row r="9" customFormat="false" ht="45.75" hidden="false" customHeight="true" outlineLevel="0" collapsed="false">
      <c r="B9" s="14" t="s">
        <v>61</v>
      </c>
      <c r="C9" s="15" t="s">
        <v>62</v>
      </c>
      <c r="D9" s="15"/>
      <c r="E9" s="15"/>
      <c r="F9" s="15"/>
    </row>
    <row r="10" customFormat="false" ht="45.75" hidden="false" customHeight="true" outlineLevel="0" collapsed="false">
      <c r="B10" s="14" t="s">
        <v>59</v>
      </c>
      <c r="C10" s="15" t="s">
        <v>63</v>
      </c>
      <c r="D10" s="15"/>
      <c r="E10" s="15"/>
      <c r="F10" s="15"/>
    </row>
    <row r="12" customFormat="false" ht="15" hidden="false" customHeight="true" outlineLevel="0" collapsed="false">
      <c r="A12" s="3" t="s">
        <v>64</v>
      </c>
      <c r="B12" s="3"/>
      <c r="C12" s="3"/>
      <c r="D12" s="3"/>
      <c r="E12" s="3"/>
      <c r="F12" s="3"/>
    </row>
    <row r="13" customFormat="false" ht="15" hidden="false" customHeight="true" outlineLevel="0" collapsed="false">
      <c r="B13" s="16" t="s">
        <v>65</v>
      </c>
      <c r="C13" s="17" t="s">
        <v>66</v>
      </c>
      <c r="D13" s="18" t="s">
        <v>67</v>
      </c>
      <c r="E13" s="19" t="s">
        <v>68</v>
      </c>
      <c r="F13" s="16" t="s">
        <v>69</v>
      </c>
    </row>
    <row r="14" customFormat="false" ht="15" hidden="false" customHeight="true" outlineLevel="0" collapsed="false">
      <c r="B14" s="9" t="s">
        <v>70</v>
      </c>
      <c r="C14" s="20" t="n">
        <f aca="false">03_Себестоимость_ИТОГ!C8</f>
        <v>40163147.7</v>
      </c>
      <c r="D14" s="20" t="n">
        <f aca="false">03_Себестоимость_ИТОГ!D8</f>
        <v>40163147.7</v>
      </c>
      <c r="E14" s="20" t="n">
        <f aca="false">03_Себестоимость_ИТОГ!E8</f>
        <v>40163147.7</v>
      </c>
      <c r="F14" s="21" t="s">
        <v>71</v>
      </c>
    </row>
    <row r="15" customFormat="false" ht="15" hidden="false" customHeight="true" outlineLevel="0" collapsed="false">
      <c r="B15" s="9" t="s">
        <v>72</v>
      </c>
      <c r="C15" s="20" t="n">
        <f aca="false">03_Себестоимость_ИТОГ!C22</f>
        <v>37370324.55</v>
      </c>
      <c r="D15" s="20" t="n">
        <f aca="false">03_Себестоимость_ИТОГ!D22</f>
        <v>40418858.01</v>
      </c>
      <c r="E15" s="20" t="n">
        <f aca="false">03_Себестоимость_ИТОГ!E22</f>
        <v>51113619.58</v>
      </c>
      <c r="F15" s="21" t="s">
        <v>73</v>
      </c>
    </row>
    <row r="16" customFormat="false" ht="15" hidden="false" customHeight="true" outlineLevel="0" collapsed="false">
      <c r="B16" s="8" t="s">
        <v>74</v>
      </c>
      <c r="C16" s="22" t="n">
        <f aca="false">03_Себестоимость_ИТОГ!C24</f>
        <v>2792823.15000001</v>
      </c>
      <c r="D16" s="23" t="n">
        <f aca="false">03_Себестоимость_ИТОГ!D24</f>
        <v>-255710.309999995</v>
      </c>
      <c r="E16" s="24" t="n">
        <f aca="false">03_Себестоимость_ИТОГ!E24</f>
        <v>-10950471.88</v>
      </c>
      <c r="F16" s="21" t="s">
        <v>75</v>
      </c>
    </row>
    <row r="17" customFormat="false" ht="15" hidden="false" customHeight="true" outlineLevel="0" collapsed="false">
      <c r="B17" s="8" t="s">
        <v>76</v>
      </c>
      <c r="C17" s="25" t="n">
        <f aca="false">03_Себестоимость_ИТОГ!C25</f>
        <v>0.0695369588773543</v>
      </c>
      <c r="D17" s="26" t="n">
        <f aca="false">03_Себестоимость_ИТОГ!D25</f>
        <v>-0.00636678957311892</v>
      </c>
      <c r="E17" s="27" t="n">
        <f aca="false">03_Себестоимость_ИТОГ!E25</f>
        <v>-0.272649742539975</v>
      </c>
      <c r="F17" s="21" t="s">
        <v>77</v>
      </c>
    </row>
    <row r="18" customFormat="false" ht="15" hidden="false" customHeight="true" outlineLevel="0" collapsed="false">
      <c r="B18" s="8" t="s">
        <v>78</v>
      </c>
      <c r="C18" s="22" t="n">
        <f aca="false">03_Себестоимость_ИТОГ!C27</f>
        <v>2094617.3625</v>
      </c>
      <c r="D18" s="23" t="n">
        <f aca="false">03_Себестоимость_ИТОГ!D27</f>
        <v>-255710.309999995</v>
      </c>
      <c r="E18" s="24" t="n">
        <f aca="false">03_Себестоимость_ИТОГ!E27</f>
        <v>-10950471.88</v>
      </c>
      <c r="F18" s="21" t="s">
        <v>79</v>
      </c>
    </row>
    <row r="20" customFormat="false" ht="15" hidden="false" customHeight="true" outlineLevel="0" collapsed="false">
      <c r="A20" s="3" t="s">
        <v>80</v>
      </c>
      <c r="B20" s="3"/>
      <c r="C20" s="3"/>
      <c r="D20" s="3"/>
      <c r="E20" s="3"/>
      <c r="F20" s="3"/>
    </row>
    <row r="21" customFormat="false" ht="15" hidden="false" customHeight="true" outlineLevel="0" collapsed="false">
      <c r="B21" s="9" t="s">
        <v>81</v>
      </c>
      <c r="C21" s="28" t="s">
        <v>82</v>
      </c>
      <c r="D21" s="28"/>
      <c r="E21" s="21" t="s">
        <v>83</v>
      </c>
      <c r="F21" s="21"/>
    </row>
    <row r="22" customFormat="false" ht="15" hidden="false" customHeight="true" outlineLevel="0" collapsed="false">
      <c r="B22" s="9" t="s">
        <v>84</v>
      </c>
      <c r="C22" s="28" t="s">
        <v>85</v>
      </c>
      <c r="D22" s="28"/>
      <c r="E22" s="21" t="s">
        <v>86</v>
      </c>
      <c r="F22" s="21"/>
    </row>
    <row r="23" customFormat="false" ht="15" hidden="false" customHeight="true" outlineLevel="0" collapsed="false">
      <c r="B23" s="9" t="s">
        <v>87</v>
      </c>
      <c r="C23" s="28" t="s">
        <v>88</v>
      </c>
      <c r="D23" s="28"/>
      <c r="E23" s="21" t="s">
        <v>89</v>
      </c>
      <c r="F23" s="21"/>
    </row>
    <row r="24" customFormat="false" ht="15" hidden="false" customHeight="true" outlineLevel="0" collapsed="false">
      <c r="B24" s="9" t="s">
        <v>90</v>
      </c>
      <c r="C24" s="28" t="s">
        <v>91</v>
      </c>
      <c r="D24" s="28"/>
      <c r="E24" s="21" t="s">
        <v>92</v>
      </c>
      <c r="F24" s="21"/>
    </row>
    <row r="25" customFormat="false" ht="15" hidden="false" customHeight="true" outlineLevel="0" collapsed="false">
      <c r="B25" s="9" t="s">
        <v>93</v>
      </c>
      <c r="C25" s="28" t="s">
        <v>94</v>
      </c>
      <c r="D25" s="28"/>
      <c r="E25" s="21" t="s">
        <v>95</v>
      </c>
      <c r="F25" s="21"/>
    </row>
    <row r="26" customFormat="false" ht="15" hidden="false" customHeight="true" outlineLevel="0" collapsed="false">
      <c r="B26" s="9" t="s">
        <v>96</v>
      </c>
      <c r="C26" s="28" t="s">
        <v>97</v>
      </c>
      <c r="D26" s="28"/>
      <c r="E26" s="21" t="s">
        <v>98</v>
      </c>
      <c r="F26" s="21"/>
    </row>
    <row r="27" customFormat="false" ht="15" hidden="false" customHeight="true" outlineLevel="0" collapsed="false">
      <c r="B27" s="9" t="s">
        <v>99</v>
      </c>
      <c r="C27" s="28" t="s">
        <v>100</v>
      </c>
      <c r="D27" s="28"/>
      <c r="E27" s="21" t="s">
        <v>101</v>
      </c>
      <c r="F27" s="21"/>
    </row>
    <row r="28" customFormat="false" ht="15" hidden="false" customHeight="true" outlineLevel="0" collapsed="false">
      <c r="B28" s="9" t="s">
        <v>102</v>
      </c>
      <c r="C28" s="28" t="s">
        <v>103</v>
      </c>
      <c r="D28" s="28"/>
      <c r="E28" s="21" t="s">
        <v>104</v>
      </c>
      <c r="F28" s="21"/>
    </row>
    <row r="30" customFormat="false" ht="15" hidden="false" customHeight="true" outlineLevel="0" collapsed="false">
      <c r="A30" s="5" t="s">
        <v>105</v>
      </c>
      <c r="B30" s="5"/>
      <c r="C30" s="5"/>
      <c r="D30" s="5"/>
      <c r="E30" s="5"/>
      <c r="F30" s="5"/>
    </row>
    <row r="31" customFormat="false" ht="37.5" hidden="false" customHeight="true" outlineLevel="0" collapsed="false">
      <c r="B31" s="29" t="s">
        <v>106</v>
      </c>
      <c r="C31" s="15" t="s">
        <v>107</v>
      </c>
      <c r="D31" s="15"/>
      <c r="E31" s="15"/>
      <c r="F31" s="15"/>
    </row>
    <row r="32" customFormat="false" ht="37.5" hidden="false" customHeight="true" outlineLevel="0" collapsed="false">
      <c r="B32" s="29" t="s">
        <v>108</v>
      </c>
      <c r="C32" s="15" t="s">
        <v>109</v>
      </c>
      <c r="D32" s="15"/>
      <c r="E32" s="15"/>
      <c r="F32" s="15"/>
    </row>
    <row r="33" customFormat="false" ht="37.5" hidden="false" customHeight="true" outlineLevel="0" collapsed="false">
      <c r="B33" s="29" t="s">
        <v>110</v>
      </c>
      <c r="C33" s="15" t="s">
        <v>111</v>
      </c>
      <c r="D33" s="15"/>
      <c r="E33" s="15"/>
      <c r="F33" s="15"/>
    </row>
    <row r="35" customFormat="false" ht="27.75" hidden="false" customHeight="true" outlineLevel="0" collapsed="false">
      <c r="B35" s="30" t="s">
        <v>112</v>
      </c>
      <c r="C35" s="30"/>
      <c r="D35" s="30"/>
      <c r="E35" s="30"/>
      <c r="F35" s="30"/>
    </row>
    <row r="36" customFormat="false" ht="15" hidden="false" customHeight="true" outlineLevel="0" collapsed="false">
      <c r="B36" s="30"/>
      <c r="C36" s="30"/>
      <c r="D36" s="30"/>
      <c r="E36" s="30"/>
      <c r="F36" s="30"/>
    </row>
  </sheetData>
  <mergeCells count="31">
    <mergeCell ref="A1:F1"/>
    <mergeCell ref="A2:F2"/>
    <mergeCell ref="A3:F4"/>
    <mergeCell ref="A6:F6"/>
    <mergeCell ref="C7:F7"/>
    <mergeCell ref="C8:F8"/>
    <mergeCell ref="C9:F9"/>
    <mergeCell ref="C10:F10"/>
    <mergeCell ref="A12:F12"/>
    <mergeCell ref="A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A30:F30"/>
    <mergeCell ref="C31:F31"/>
    <mergeCell ref="C32:F32"/>
    <mergeCell ref="C33:F33"/>
    <mergeCell ref="B35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78"/>
  </cols>
  <sheetData>
    <row r="1" customFormat="false" ht="24" hidden="false" customHeight="true" outlineLevel="0" collapsed="false">
      <c r="A1" s="31" t="s">
        <v>113</v>
      </c>
      <c r="B1" s="31"/>
      <c r="C1" s="31"/>
    </row>
    <row r="2" customFormat="false" ht="24" hidden="false" customHeight="true" outlineLevel="0" collapsed="false">
      <c r="A2" s="32" t="s">
        <v>114</v>
      </c>
      <c r="B2" s="32"/>
      <c r="C2" s="32"/>
    </row>
    <row r="3" customFormat="false" ht="21.75" hidden="false" customHeight="true" outlineLevel="0" collapsed="false">
      <c r="B3" s="33" t="s">
        <v>115</v>
      </c>
      <c r="C3" s="34" t="s">
        <v>116</v>
      </c>
    </row>
    <row r="4" customFormat="false" ht="33.75" hidden="false" customHeight="true" outlineLevel="0" collapsed="false">
      <c r="B4" s="33" t="s">
        <v>117</v>
      </c>
      <c r="C4" s="34" t="s">
        <v>118</v>
      </c>
    </row>
    <row r="5" customFormat="false" ht="33.75" hidden="false" customHeight="true" outlineLevel="0" collapsed="false">
      <c r="B5" s="33" t="s">
        <v>119</v>
      </c>
      <c r="C5" s="34" t="s">
        <v>120</v>
      </c>
    </row>
    <row r="6" customFormat="false" ht="33.75" hidden="false" customHeight="true" outlineLevel="0" collapsed="false">
      <c r="B6" s="33" t="s">
        <v>121</v>
      </c>
      <c r="C6" s="34" t="s">
        <v>122</v>
      </c>
    </row>
    <row r="7" customFormat="false" ht="33.75" hidden="false" customHeight="true" outlineLevel="0" collapsed="false">
      <c r="B7" s="33" t="s">
        <v>123</v>
      </c>
      <c r="C7" s="34" t="s">
        <v>124</v>
      </c>
    </row>
    <row r="8" customFormat="false" ht="33.75" hidden="false" customHeight="true" outlineLevel="0" collapsed="false">
      <c r="B8" s="33" t="s">
        <v>125</v>
      </c>
      <c r="C8" s="34" t="s">
        <v>126</v>
      </c>
    </row>
    <row r="9" customFormat="false" ht="33.75" hidden="false" customHeight="true" outlineLevel="0" collapsed="false">
      <c r="B9" s="33" t="s">
        <v>127</v>
      </c>
      <c r="C9" s="34" t="s">
        <v>128</v>
      </c>
    </row>
    <row r="10" customFormat="false" ht="33.75" hidden="false" customHeight="true" outlineLevel="0" collapsed="false">
      <c r="B10" s="33" t="s">
        <v>129</v>
      </c>
      <c r="C10" s="34" t="s">
        <v>130</v>
      </c>
    </row>
    <row r="11" customFormat="false" ht="21.75" hidden="false" customHeight="true" outlineLevel="0" collapsed="false">
      <c r="B11" s="33" t="s">
        <v>131</v>
      </c>
      <c r="C11" s="34" t="s">
        <v>132</v>
      </c>
    </row>
    <row r="12" customFormat="false" ht="33.75" hidden="false" customHeight="true" outlineLevel="0" collapsed="false">
      <c r="B12" s="33" t="s">
        <v>133</v>
      </c>
      <c r="C12" s="34" t="s">
        <v>134</v>
      </c>
    </row>
    <row r="13" customFormat="false" ht="33.75" hidden="false" customHeight="true" outlineLevel="0" collapsed="false">
      <c r="B13" s="33" t="s">
        <v>135</v>
      </c>
      <c r="C13" s="34" t="s">
        <v>136</v>
      </c>
    </row>
    <row r="14" customFormat="false" ht="33.75" hidden="false" customHeight="true" outlineLevel="0" collapsed="false">
      <c r="B14" s="33" t="s">
        <v>137</v>
      </c>
      <c r="C14" s="34" t="s">
        <v>138</v>
      </c>
    </row>
    <row r="15" customFormat="false" ht="33.75" hidden="false" customHeight="true" outlineLevel="0" collapsed="false">
      <c r="B15" s="33" t="s">
        <v>139</v>
      </c>
      <c r="C15" s="34" t="s">
        <v>140</v>
      </c>
    </row>
    <row r="16" customFormat="false" ht="21.75" hidden="false" customHeight="true" outlineLevel="0" collapsed="false">
      <c r="B16" s="33" t="s">
        <v>141</v>
      </c>
      <c r="C16" s="34" t="s">
        <v>142</v>
      </c>
    </row>
    <row r="17" customFormat="false" ht="33.75" hidden="false" customHeight="true" outlineLevel="0" collapsed="false">
      <c r="B17" s="33" t="s">
        <v>143</v>
      </c>
      <c r="C17" s="34" t="s">
        <v>144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5" min="3" style="1" width="16"/>
    <col collapsed="false" customWidth="true" hidden="false" outlineLevel="0" max="6" min="6" style="1" width="50"/>
  </cols>
  <sheetData>
    <row r="1" customFormat="false" ht="24" hidden="false" customHeight="true" outlineLevel="0" collapsed="false">
      <c r="A1" s="31" t="s">
        <v>145</v>
      </c>
      <c r="B1" s="31"/>
      <c r="C1" s="31"/>
      <c r="D1" s="31"/>
      <c r="E1" s="31"/>
      <c r="F1" s="31"/>
    </row>
    <row r="2" customFormat="false" ht="24" hidden="false" customHeight="true" outlineLevel="0" collapsed="false">
      <c r="A2" s="32" t="s">
        <v>146</v>
      </c>
      <c r="B2" s="32"/>
      <c r="C2" s="32"/>
      <c r="D2" s="32"/>
      <c r="E2" s="32"/>
      <c r="F2" s="32"/>
    </row>
    <row r="3" customFormat="false" ht="15" hidden="false" customHeight="true" outlineLevel="0" collapsed="false">
      <c r="B3" s="35" t="s">
        <v>147</v>
      </c>
      <c r="C3" s="36" t="s">
        <v>66</v>
      </c>
      <c r="D3" s="37" t="s">
        <v>67</v>
      </c>
      <c r="E3" s="38" t="s">
        <v>68</v>
      </c>
      <c r="F3" s="35" t="s">
        <v>148</v>
      </c>
    </row>
    <row r="4" customFormat="false" ht="15" hidden="false" customHeight="true" outlineLevel="0" collapsed="false">
      <c r="A4" s="3" t="s">
        <v>149</v>
      </c>
      <c r="B4" s="3"/>
      <c r="C4" s="3"/>
      <c r="D4" s="3"/>
      <c r="E4" s="3"/>
      <c r="F4" s="3"/>
    </row>
    <row r="5" customFormat="false" ht="21.75" hidden="false" customHeight="true" outlineLevel="0" collapsed="false">
      <c r="B5" s="9" t="s">
        <v>150</v>
      </c>
      <c r="C5" s="39" t="n">
        <v>24822167</v>
      </c>
      <c r="D5" s="39" t="n">
        <v>24822167</v>
      </c>
      <c r="E5" s="39" t="n">
        <v>24822167</v>
      </c>
      <c r="F5" s="40" t="s">
        <v>151</v>
      </c>
    </row>
    <row r="6" customFormat="false" ht="15" hidden="false" customHeight="true" outlineLevel="0" collapsed="false">
      <c r="B6" s="9" t="s">
        <v>152</v>
      </c>
      <c r="C6" s="39" t="n">
        <v>11086179</v>
      </c>
      <c r="D6" s="39" t="n">
        <v>11086179</v>
      </c>
      <c r="E6" s="39" t="n">
        <v>11086179</v>
      </c>
      <c r="F6" s="40" t="s">
        <v>153</v>
      </c>
    </row>
    <row r="7" customFormat="false" ht="15" hidden="false" customHeight="true" outlineLevel="0" collapsed="false">
      <c r="B7" s="9" t="s">
        <v>154</v>
      </c>
      <c r="C7" s="39" t="n">
        <v>1245253</v>
      </c>
      <c r="D7" s="39" t="n">
        <v>1245253</v>
      </c>
      <c r="E7" s="39" t="n">
        <v>1245253</v>
      </c>
      <c r="F7" s="40" t="s">
        <v>155</v>
      </c>
    </row>
    <row r="8" customFormat="false" ht="15" hidden="false" customHeight="true" outlineLevel="0" collapsed="false">
      <c r="B8" s="9" t="s">
        <v>156</v>
      </c>
      <c r="C8" s="39" t="n">
        <v>2222036</v>
      </c>
      <c r="D8" s="39" t="n">
        <v>2222036</v>
      </c>
      <c r="E8" s="39" t="n">
        <v>2222036</v>
      </c>
      <c r="F8" s="40" t="s">
        <v>157</v>
      </c>
    </row>
    <row r="9" customFormat="false" ht="15" hidden="false" customHeight="true" outlineLevel="0" collapsed="false">
      <c r="B9" s="9" t="s">
        <v>158</v>
      </c>
      <c r="C9" s="41" t="n">
        <v>0.02</v>
      </c>
      <c r="D9" s="41" t="n">
        <v>0.02</v>
      </c>
      <c r="E9" s="41" t="n">
        <v>0.02</v>
      </c>
      <c r="F9" s="40" t="s">
        <v>159</v>
      </c>
    </row>
    <row r="10" customFormat="false" ht="15" hidden="false" customHeight="true" outlineLevel="0" collapsed="false">
      <c r="A10" s="3" t="s">
        <v>160</v>
      </c>
      <c r="B10" s="3"/>
      <c r="C10" s="3"/>
      <c r="D10" s="3"/>
      <c r="E10" s="3"/>
      <c r="F10" s="3"/>
    </row>
    <row r="11" customFormat="false" ht="18.75" hidden="false" customHeight="true" outlineLevel="0" collapsed="false">
      <c r="B11" s="9" t="s">
        <v>161</v>
      </c>
      <c r="C11" s="41" t="n">
        <v>1</v>
      </c>
      <c r="D11" s="41" t="n">
        <v>1</v>
      </c>
      <c r="E11" s="41" t="n">
        <v>0</v>
      </c>
      <c r="F11" s="40" t="s">
        <v>162</v>
      </c>
    </row>
    <row r="12" customFormat="false" ht="18.75" hidden="false" customHeight="true" outlineLevel="0" collapsed="false">
      <c r="B12" s="9" t="s">
        <v>163</v>
      </c>
      <c r="C12" s="39" t="n">
        <v>0.78</v>
      </c>
      <c r="D12" s="39" t="n">
        <v>0.79</v>
      </c>
      <c r="E12" s="39" t="n">
        <v>0.83</v>
      </c>
      <c r="F12" s="40" t="s">
        <v>164</v>
      </c>
    </row>
    <row r="13" customFormat="false" ht="15" hidden="false" customHeight="true" outlineLevel="0" collapsed="false">
      <c r="B13" s="9" t="s">
        <v>165</v>
      </c>
      <c r="C13" s="41" t="n">
        <v>0.07</v>
      </c>
      <c r="D13" s="41" t="n">
        <v>0.06</v>
      </c>
      <c r="E13" s="41" t="n">
        <v>0.05</v>
      </c>
      <c r="F13" s="40" t="s">
        <v>166</v>
      </c>
    </row>
    <row r="14" customFormat="false" ht="15" hidden="false" customHeight="true" outlineLevel="0" collapsed="false">
      <c r="B14" s="9" t="s">
        <v>167</v>
      </c>
      <c r="C14" s="41" t="n">
        <v>0.07</v>
      </c>
      <c r="D14" s="41" t="n">
        <v>0.06</v>
      </c>
      <c r="E14" s="41" t="n">
        <v>0.05</v>
      </c>
      <c r="F14" s="40" t="s">
        <v>168</v>
      </c>
    </row>
    <row r="15" customFormat="false" ht="15" hidden="false" customHeight="true" outlineLevel="0" collapsed="false">
      <c r="B15" s="9" t="s">
        <v>169</v>
      </c>
      <c r="C15" s="41" t="n">
        <v>0.06</v>
      </c>
      <c r="D15" s="41" t="n">
        <v>0.06</v>
      </c>
      <c r="E15" s="41" t="n">
        <v>0.04</v>
      </c>
      <c r="F15" s="40" t="s">
        <v>170</v>
      </c>
    </row>
    <row r="16" customFormat="false" ht="15" hidden="false" customHeight="true" outlineLevel="0" collapsed="false">
      <c r="B16" s="9" t="s">
        <v>171</v>
      </c>
      <c r="C16" s="39" t="n">
        <v>2000000</v>
      </c>
      <c r="D16" s="39" t="n">
        <v>2100000</v>
      </c>
      <c r="E16" s="39" t="n">
        <v>2200000</v>
      </c>
      <c r="F16" s="40" t="s">
        <v>172</v>
      </c>
    </row>
    <row r="17" customFormat="false" ht="15" hidden="false" customHeight="true" outlineLevel="0" collapsed="false">
      <c r="A17" s="3" t="s">
        <v>173</v>
      </c>
      <c r="B17" s="3"/>
      <c r="C17" s="3"/>
      <c r="D17" s="3"/>
      <c r="E17" s="3"/>
      <c r="F17" s="3"/>
    </row>
    <row r="18" customFormat="false" ht="18.75" hidden="false" customHeight="true" outlineLevel="0" collapsed="false">
      <c r="B18" s="9" t="s">
        <v>174</v>
      </c>
      <c r="C18" s="39" t="n">
        <v>1500000</v>
      </c>
      <c r="D18" s="39" t="n">
        <v>1780000</v>
      </c>
      <c r="E18" s="39" t="n">
        <v>2134583</v>
      </c>
      <c r="F18" s="40" t="s">
        <v>175</v>
      </c>
    </row>
    <row r="19" customFormat="false" ht="18.75" hidden="false" customHeight="true" outlineLevel="0" collapsed="false">
      <c r="B19" s="9" t="s">
        <v>176</v>
      </c>
      <c r="C19" s="42" t="n">
        <f aca="false">06_АХР_генподряд!F15*0.75</f>
        <v>2728350</v>
      </c>
      <c r="D19" s="42" t="n">
        <f aca="false">06_АХР_генподряд!F15</f>
        <v>3637800</v>
      </c>
      <c r="E19" s="42" t="n">
        <f aca="false">06_АХР_генподряд!F15*1.3</f>
        <v>4729140</v>
      </c>
      <c r="F19" s="40" t="s">
        <v>177</v>
      </c>
    </row>
    <row r="20" customFormat="false" ht="15" hidden="false" customHeight="true" outlineLevel="0" collapsed="false">
      <c r="B20" s="9" t="s">
        <v>178</v>
      </c>
      <c r="C20" s="39" t="n">
        <v>300000</v>
      </c>
      <c r="D20" s="39" t="n">
        <v>400000</v>
      </c>
      <c r="E20" s="39" t="n">
        <v>600000</v>
      </c>
      <c r="F20" s="40" t="s">
        <v>179</v>
      </c>
    </row>
    <row r="21" customFormat="false" ht="18.75" hidden="false" customHeight="true" outlineLevel="0" collapsed="false">
      <c r="B21" s="9" t="s">
        <v>180</v>
      </c>
      <c r="C21" s="39" t="n">
        <v>-300000</v>
      </c>
      <c r="D21" s="39" t="n">
        <v>0</v>
      </c>
      <c r="E21" s="39" t="n">
        <v>800000</v>
      </c>
      <c r="F21" s="40" t="s">
        <v>181</v>
      </c>
    </row>
    <row r="22" customFormat="false" ht="15" hidden="false" customHeight="true" outlineLevel="0" collapsed="false">
      <c r="A22" s="3" t="s">
        <v>182</v>
      </c>
      <c r="B22" s="3"/>
      <c r="C22" s="3"/>
      <c r="D22" s="3"/>
      <c r="E22" s="3"/>
      <c r="F22" s="3"/>
    </row>
    <row r="23" customFormat="false" ht="18.75" hidden="false" customHeight="true" outlineLevel="0" collapsed="false">
      <c r="B23" s="9" t="s">
        <v>183</v>
      </c>
      <c r="C23" s="39" t="n">
        <v>0</v>
      </c>
      <c r="D23" s="39" t="n">
        <v>0</v>
      </c>
      <c r="E23" s="39" t="n">
        <v>2141525</v>
      </c>
      <c r="F23" s="40" t="s">
        <v>184</v>
      </c>
    </row>
    <row r="24" customFormat="false" ht="18.75" hidden="false" customHeight="true" outlineLevel="0" collapsed="false">
      <c r="B24" s="9" t="s">
        <v>185</v>
      </c>
      <c r="C24" s="39" t="n">
        <v>0</v>
      </c>
      <c r="D24" s="39" t="n">
        <v>500000</v>
      </c>
      <c r="E24" s="39" t="n">
        <v>1100000</v>
      </c>
      <c r="F24" s="40" t="s">
        <v>186</v>
      </c>
    </row>
    <row r="25" customFormat="false" ht="18.75" hidden="false" customHeight="true" outlineLevel="0" collapsed="false">
      <c r="B25" s="9" t="s">
        <v>187</v>
      </c>
      <c r="C25" s="39" t="n">
        <v>0</v>
      </c>
      <c r="D25" s="39" t="n">
        <v>300000</v>
      </c>
      <c r="E25" s="39" t="n">
        <v>900000</v>
      </c>
      <c r="F25" s="40" t="s">
        <v>188</v>
      </c>
    </row>
    <row r="26" customFormat="false" ht="18.75" hidden="false" customHeight="true" outlineLevel="0" collapsed="false">
      <c r="B26" s="9" t="s">
        <v>189</v>
      </c>
      <c r="C26" s="39" t="n">
        <v>300000</v>
      </c>
      <c r="D26" s="39" t="n">
        <v>500000</v>
      </c>
      <c r="E26" s="39" t="n">
        <v>1200000</v>
      </c>
      <c r="F26" s="40" t="s">
        <v>190</v>
      </c>
    </row>
    <row r="27" customFormat="false" ht="15" hidden="false" customHeight="true" outlineLevel="0" collapsed="false">
      <c r="A27" s="3" t="s">
        <v>191</v>
      </c>
      <c r="B27" s="3"/>
      <c r="C27" s="3"/>
      <c r="D27" s="3"/>
      <c r="E27" s="3"/>
      <c r="F27" s="3"/>
    </row>
    <row r="28" customFormat="false" ht="18.75" hidden="false" customHeight="true" outlineLevel="0" collapsed="false">
      <c r="B28" s="9" t="s">
        <v>192</v>
      </c>
      <c r="C28" s="41" t="n">
        <v>0.25</v>
      </c>
      <c r="D28" s="41" t="n">
        <v>0.25</v>
      </c>
      <c r="E28" s="41" t="n">
        <v>0.25</v>
      </c>
      <c r="F28" s="40" t="s">
        <v>193</v>
      </c>
    </row>
    <row r="30" customFormat="false" ht="15" hidden="false" customHeight="true" outlineLevel="0" collapsed="false">
      <c r="B30" s="43" t="s">
        <v>194</v>
      </c>
      <c r="C30" s="43"/>
      <c r="D30" s="43"/>
      <c r="E30" s="43"/>
      <c r="F30" s="43"/>
    </row>
    <row r="31" customFormat="false" ht="15" hidden="false" customHeight="true" outlineLevel="0" collapsed="false">
      <c r="B31" s="43"/>
      <c r="C31" s="43"/>
      <c r="D31" s="43"/>
      <c r="E31" s="43"/>
      <c r="F31" s="43"/>
    </row>
    <row r="32" customFormat="false" ht="15" hidden="false" customHeight="true" outlineLevel="0" collapsed="false">
      <c r="B32" s="43"/>
      <c r="C32" s="43"/>
      <c r="D32" s="43"/>
      <c r="E32" s="43"/>
      <c r="F32" s="43"/>
    </row>
    <row r="33" customFormat="false" ht="15" hidden="false" customHeight="true" outlineLevel="0" collapsed="false">
      <c r="B33" s="43"/>
      <c r="C33" s="43"/>
      <c r="D33" s="43"/>
      <c r="E33" s="43"/>
      <c r="F33" s="43"/>
    </row>
  </sheetData>
  <mergeCells count="8">
    <mergeCell ref="A1:F1"/>
    <mergeCell ref="A2:F2"/>
    <mergeCell ref="A4:F4"/>
    <mergeCell ref="A10:F10"/>
    <mergeCell ref="A17:F17"/>
    <mergeCell ref="A22:F22"/>
    <mergeCell ref="A27:F27"/>
    <mergeCell ref="B30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5" min="3" style="1" width="17"/>
    <col collapsed="false" customWidth="true" hidden="false" outlineLevel="0" max="6" min="6" style="1" width="44"/>
  </cols>
  <sheetData>
    <row r="1" customFormat="false" ht="24" hidden="false" customHeight="true" outlineLevel="0" collapsed="false">
      <c r="A1" s="31" t="s">
        <v>195</v>
      </c>
      <c r="B1" s="31"/>
      <c r="C1" s="31"/>
      <c r="D1" s="31"/>
      <c r="E1" s="31"/>
      <c r="F1" s="31"/>
    </row>
    <row r="2" customFormat="false" ht="24" hidden="false" customHeight="true" outlineLevel="0" collapsed="false">
      <c r="A2" s="32" t="s">
        <v>196</v>
      </c>
      <c r="B2" s="32"/>
      <c r="C2" s="32"/>
      <c r="D2" s="32"/>
      <c r="E2" s="32"/>
      <c r="F2" s="32"/>
    </row>
    <row r="3" customFormat="false" ht="15" hidden="false" customHeight="true" outlineLevel="0" collapsed="false">
      <c r="B3" s="7" t="s">
        <v>197</v>
      </c>
      <c r="C3" s="36" t="s">
        <v>66</v>
      </c>
      <c r="D3" s="37" t="s">
        <v>67</v>
      </c>
      <c r="E3" s="38" t="s">
        <v>68</v>
      </c>
      <c r="F3" s="7" t="s">
        <v>69</v>
      </c>
    </row>
    <row r="4" customFormat="false" ht="15" hidden="false" customHeight="true" outlineLevel="0" collapsed="false">
      <c r="A4" s="3" t="s">
        <v>198</v>
      </c>
      <c r="B4" s="3"/>
      <c r="C4" s="3"/>
      <c r="D4" s="3"/>
      <c r="E4" s="3"/>
      <c r="F4" s="3"/>
    </row>
    <row r="5" customFormat="false" ht="15" hidden="false" customHeight="true" outlineLevel="0" collapsed="false">
      <c r="B5" s="9" t="s">
        <v>199</v>
      </c>
      <c r="C5" s="44" t="n">
        <f aca="false">02_Параметры!C5+02_Параметры!C6+02_Параметры!C7</f>
        <v>37153599</v>
      </c>
      <c r="D5" s="44" t="n">
        <f aca="false">02_Параметры!D5+02_Параметры!D6+02_Параметры!D7</f>
        <v>37153599</v>
      </c>
      <c r="E5" s="44" t="n">
        <f aca="false">02_Параметры!E5+02_Параметры!E6+02_Параметры!E7</f>
        <v>37153599</v>
      </c>
      <c r="F5" s="40" t="s">
        <v>200</v>
      </c>
    </row>
    <row r="6" customFormat="false" ht="15" hidden="false" customHeight="true" outlineLevel="0" collapsed="false">
      <c r="B6" s="9" t="s">
        <v>201</v>
      </c>
      <c r="C6" s="44" t="n">
        <f aca="false">02_Параметры!C8</f>
        <v>2222036</v>
      </c>
      <c r="D6" s="44" t="n">
        <f aca="false">02_Параметры!D8</f>
        <v>2222036</v>
      </c>
      <c r="E6" s="44" t="n">
        <f aca="false">02_Параметры!E8</f>
        <v>2222036</v>
      </c>
      <c r="F6" s="40" t="s">
        <v>202</v>
      </c>
    </row>
    <row r="7" customFormat="false" ht="15" hidden="false" customHeight="true" outlineLevel="0" collapsed="false">
      <c r="B7" s="9" t="s">
        <v>203</v>
      </c>
      <c r="C7" s="44" t="n">
        <f aca="false">(02_Параметры!C5+02_Параметры!C6+02_Параметры!C7+02_Параметры!C8)*02_Параметры!C9</f>
        <v>787512.7</v>
      </c>
      <c r="D7" s="44" t="n">
        <f aca="false">(02_Параметры!D5+02_Параметры!D6+02_Параметры!D7+02_Параметры!D8)*02_Параметры!D9</f>
        <v>787512.7</v>
      </c>
      <c r="E7" s="44" t="n">
        <f aca="false">(02_Параметры!E5+02_Параметры!E6+02_Параметры!E7+02_Параметры!E8)*02_Параметры!E9</f>
        <v>787512.7</v>
      </c>
      <c r="F7" s="40" t="s">
        <v>204</v>
      </c>
    </row>
    <row r="8" customFormat="false" ht="15" hidden="false" customHeight="true" outlineLevel="0" collapsed="false">
      <c r="B8" s="8" t="s">
        <v>205</v>
      </c>
      <c r="C8" s="45" t="n">
        <f aca="false">C5+C6+C7</f>
        <v>40163147.7</v>
      </c>
      <c r="D8" s="45" t="n">
        <f aca="false">D5+D6+D7</f>
        <v>40163147.7</v>
      </c>
      <c r="E8" s="45" t="n">
        <f aca="false">E5+E6+E7</f>
        <v>40163147.7</v>
      </c>
      <c r="F8" s="40" t="s">
        <v>206</v>
      </c>
    </row>
    <row r="9" customFormat="false" ht="15" hidden="false" customHeight="true" outlineLevel="0" collapsed="false">
      <c r="A9" s="3" t="s">
        <v>207</v>
      </c>
      <c r="B9" s="3"/>
      <c r="C9" s="3"/>
      <c r="D9" s="3"/>
      <c r="E9" s="3"/>
      <c r="F9" s="3"/>
    </row>
    <row r="10" customFormat="false" ht="15" hidden="false" customHeight="true" outlineLevel="0" collapsed="false">
      <c r="B10" s="9" t="s">
        <v>208</v>
      </c>
      <c r="C10" s="44" t="n">
        <f aca="false">02_Параметры!C5*02_Параметры!C11*02_Параметры!C12+02_Параметры!C5*(1-02_Параметры!C11)*(1-02_Параметры!C13)</f>
        <v>19361290.26</v>
      </c>
      <c r="D10" s="44" t="n">
        <f aca="false">02_Параметры!D5*02_Параметры!D11*02_Параметры!D12+02_Параметры!D5*(1-02_Параметры!D11)*(1-02_Параметры!D13)</f>
        <v>19609511.93</v>
      </c>
      <c r="E10" s="44" t="n">
        <f aca="false">02_Параметры!E5*02_Параметры!E11*02_Параметры!E12+02_Параметры!E5*(1-02_Параметры!E11)*(1-02_Параметры!E13)</f>
        <v>23581058.65</v>
      </c>
      <c r="F10" s="40" t="s">
        <v>209</v>
      </c>
    </row>
    <row r="11" customFormat="false" ht="15" hidden="false" customHeight="true" outlineLevel="0" collapsed="false">
      <c r="B11" s="9" t="s">
        <v>210</v>
      </c>
      <c r="C11" s="44" t="n">
        <f aca="false">02_Параметры!C6*(1-02_Параметры!C14)</f>
        <v>10310146.47</v>
      </c>
      <c r="D11" s="44" t="n">
        <f aca="false">02_Параметры!D6*(1-02_Параметры!D14)</f>
        <v>10421008.26</v>
      </c>
      <c r="E11" s="44" t="n">
        <f aca="false">02_Параметры!E6*(1-02_Параметры!E14)</f>
        <v>10531870.05</v>
      </c>
      <c r="F11" s="40" t="s">
        <v>211</v>
      </c>
    </row>
    <row r="12" customFormat="false" ht="15" hidden="false" customHeight="true" outlineLevel="0" collapsed="false">
      <c r="B12" s="9" t="s">
        <v>212</v>
      </c>
      <c r="C12" s="44" t="n">
        <f aca="false">02_Параметры!C7*(1-02_Параметры!C15)</f>
        <v>1170537.82</v>
      </c>
      <c r="D12" s="44" t="n">
        <f aca="false">02_Параметры!D7*(1-02_Параметры!D15)</f>
        <v>1170537.82</v>
      </c>
      <c r="E12" s="44" t="n">
        <f aca="false">02_Параметры!E7*(1-02_Параметры!E15)</f>
        <v>1195442.88</v>
      </c>
      <c r="F12" s="40" t="s">
        <v>213</v>
      </c>
    </row>
    <row r="13" customFormat="false" ht="15" hidden="false" customHeight="true" outlineLevel="0" collapsed="false">
      <c r="B13" s="9" t="s">
        <v>214</v>
      </c>
      <c r="C13" s="44" t="n">
        <f aca="false">02_Параметры!C16</f>
        <v>2000000</v>
      </c>
      <c r="D13" s="44" t="n">
        <f aca="false">02_Параметры!D16</f>
        <v>2100000</v>
      </c>
      <c r="E13" s="44" t="n">
        <f aca="false">02_Параметры!E16</f>
        <v>2200000</v>
      </c>
      <c r="F13" s="40" t="s">
        <v>215</v>
      </c>
    </row>
    <row r="14" customFormat="false" ht="15" hidden="false" customHeight="true" outlineLevel="0" collapsed="false">
      <c r="B14" s="9" t="s">
        <v>216</v>
      </c>
      <c r="C14" s="44" t="n">
        <f aca="false">02_Параметры!C18</f>
        <v>1500000</v>
      </c>
      <c r="D14" s="44" t="n">
        <f aca="false">02_Параметры!D18</f>
        <v>1780000</v>
      </c>
      <c r="E14" s="44" t="n">
        <f aca="false">02_Параметры!E18</f>
        <v>2134583</v>
      </c>
      <c r="F14" s="40" t="s">
        <v>217</v>
      </c>
    </row>
    <row r="15" customFormat="false" ht="15" hidden="false" customHeight="true" outlineLevel="0" collapsed="false">
      <c r="B15" s="9" t="s">
        <v>218</v>
      </c>
      <c r="C15" s="44" t="n">
        <f aca="false">02_Параметры!C19</f>
        <v>2728350</v>
      </c>
      <c r="D15" s="44" t="n">
        <f aca="false">02_Параметры!D19</f>
        <v>3637800</v>
      </c>
      <c r="E15" s="44" t="n">
        <f aca="false">02_Параметры!E19</f>
        <v>4729140</v>
      </c>
      <c r="F15" s="40" t="s">
        <v>219</v>
      </c>
    </row>
    <row r="16" customFormat="false" ht="15" hidden="false" customHeight="true" outlineLevel="0" collapsed="false">
      <c r="B16" s="9" t="s">
        <v>220</v>
      </c>
      <c r="C16" s="44" t="n">
        <f aca="false">02_Параметры!C20</f>
        <v>300000</v>
      </c>
      <c r="D16" s="44" t="n">
        <f aca="false">02_Параметры!D20</f>
        <v>400000</v>
      </c>
      <c r="E16" s="44" t="n">
        <f aca="false">02_Параметры!E20</f>
        <v>600000</v>
      </c>
      <c r="F16" s="40" t="s">
        <v>221</v>
      </c>
    </row>
    <row r="17" customFormat="false" ht="15" hidden="false" customHeight="true" outlineLevel="0" collapsed="false">
      <c r="B17" s="9" t="s">
        <v>222</v>
      </c>
      <c r="C17" s="44" t="n">
        <f aca="false">02_Параметры!C21</f>
        <v>-300000</v>
      </c>
      <c r="D17" s="44" t="n">
        <f aca="false">02_Параметры!D21</f>
        <v>0</v>
      </c>
      <c r="E17" s="44" t="n">
        <f aca="false">02_Параметры!E21</f>
        <v>800000</v>
      </c>
      <c r="F17" s="40" t="s">
        <v>223</v>
      </c>
    </row>
    <row r="18" customFormat="false" ht="15" hidden="false" customHeight="true" outlineLevel="0" collapsed="false">
      <c r="B18" s="9" t="s">
        <v>224</v>
      </c>
      <c r="C18" s="44" t="n">
        <f aca="false">02_Параметры!C26</f>
        <v>300000</v>
      </c>
      <c r="D18" s="44" t="n">
        <f aca="false">02_Параметры!D26</f>
        <v>500000</v>
      </c>
      <c r="E18" s="44" t="n">
        <f aca="false">02_Параметры!E26</f>
        <v>1200000</v>
      </c>
      <c r="F18" s="40" t="s">
        <v>225</v>
      </c>
    </row>
    <row r="19" customFormat="false" ht="15" hidden="false" customHeight="true" outlineLevel="0" collapsed="false">
      <c r="B19" s="9" t="s">
        <v>226</v>
      </c>
      <c r="C19" s="44" t="n">
        <f aca="false">02_Параметры!C24</f>
        <v>0</v>
      </c>
      <c r="D19" s="44" t="n">
        <f aca="false">02_Параметры!D24</f>
        <v>500000</v>
      </c>
      <c r="E19" s="44" t="n">
        <f aca="false">02_Параметры!E24</f>
        <v>1100000</v>
      </c>
      <c r="F19" s="40" t="s">
        <v>227</v>
      </c>
    </row>
    <row r="20" customFormat="false" ht="15" hidden="false" customHeight="true" outlineLevel="0" collapsed="false">
      <c r="B20" s="9" t="s">
        <v>228</v>
      </c>
      <c r="C20" s="44" t="n">
        <f aca="false">02_Параметры!C25</f>
        <v>0</v>
      </c>
      <c r="D20" s="44" t="n">
        <f aca="false">02_Параметры!D25</f>
        <v>300000</v>
      </c>
      <c r="E20" s="44" t="n">
        <f aca="false">02_Параметры!E25</f>
        <v>900000</v>
      </c>
      <c r="F20" s="40" t="s">
        <v>229</v>
      </c>
    </row>
    <row r="21" customFormat="false" ht="15" hidden="false" customHeight="true" outlineLevel="0" collapsed="false">
      <c r="B21" s="9" t="s">
        <v>230</v>
      </c>
      <c r="C21" s="44" t="n">
        <f aca="false">02_Параметры!C23</f>
        <v>0</v>
      </c>
      <c r="D21" s="44" t="n">
        <f aca="false">02_Параметры!D23</f>
        <v>0</v>
      </c>
      <c r="E21" s="44" t="n">
        <f aca="false">02_Параметры!E23</f>
        <v>2141525</v>
      </c>
      <c r="F21" s="40" t="s">
        <v>231</v>
      </c>
    </row>
    <row r="22" customFormat="false" ht="15" hidden="false" customHeight="true" outlineLevel="0" collapsed="false">
      <c r="B22" s="8" t="s">
        <v>232</v>
      </c>
      <c r="C22" s="45" t="n">
        <f aca="false">C10+C11+C12+C13+C14+C15+C16+C17+C18+C19+C20+C21</f>
        <v>37370324.55</v>
      </c>
      <c r="D22" s="45" t="n">
        <f aca="false">D10+D11+D12+D13+D14+D15+D16+D17+D18+D19+D20+D21</f>
        <v>40418858.01</v>
      </c>
      <c r="E22" s="45" t="n">
        <f aca="false">E10+E11+E12+E13+E14+E15+E16+E17+E18+E19+E20+E21</f>
        <v>51113619.58</v>
      </c>
      <c r="F22" s="40" t="s">
        <v>233</v>
      </c>
    </row>
    <row r="23" customFormat="false" ht="15" hidden="false" customHeight="true" outlineLevel="0" collapsed="false">
      <c r="A23" s="3" t="s">
        <v>234</v>
      </c>
      <c r="B23" s="3"/>
      <c r="C23" s="3"/>
      <c r="D23" s="3"/>
      <c r="E23" s="3"/>
      <c r="F23" s="3"/>
    </row>
    <row r="24" customFormat="false" ht="15" hidden="false" customHeight="true" outlineLevel="0" collapsed="false">
      <c r="B24" s="46" t="s">
        <v>74</v>
      </c>
      <c r="C24" s="47" t="n">
        <f aca="false">C8-C22</f>
        <v>2792823.15000001</v>
      </c>
      <c r="D24" s="48" t="n">
        <f aca="false">D8-D22</f>
        <v>-255710.309999995</v>
      </c>
      <c r="E24" s="49" t="n">
        <f aca="false">E8-E22</f>
        <v>-10950471.88</v>
      </c>
      <c r="F24" s="40" t="s">
        <v>235</v>
      </c>
    </row>
    <row r="25" customFormat="false" ht="15" hidden="false" customHeight="true" outlineLevel="0" collapsed="false">
      <c r="B25" s="46" t="s">
        <v>76</v>
      </c>
      <c r="C25" s="50" t="n">
        <f aca="false">IF(C8=0,0,C24/C8)</f>
        <v>0.0695369588773543</v>
      </c>
      <c r="D25" s="51" t="n">
        <f aca="false">IF(D8=0,0,D24/D8)</f>
        <v>-0.00636678957311892</v>
      </c>
      <c r="E25" s="52" t="n">
        <f aca="false">IF(E8=0,0,E24/E8)</f>
        <v>-0.272649742539975</v>
      </c>
      <c r="F25" s="40" t="s">
        <v>77</v>
      </c>
    </row>
    <row r="26" customFormat="false" ht="15" hidden="false" customHeight="true" outlineLevel="0" collapsed="false">
      <c r="B26" s="9" t="s">
        <v>236</v>
      </c>
      <c r="C26" s="44" t="n">
        <f aca="false">IF(C24&gt;0,C24*02_Параметры!C28,0)</f>
        <v>698205.787500002</v>
      </c>
      <c r="D26" s="44" t="n">
        <f aca="false">IF(D24&gt;0,D24*02_Параметры!D28,0)</f>
        <v>0</v>
      </c>
      <c r="E26" s="44" t="n">
        <f aca="false">IF(E24&gt;0,E24*02_Параметры!E28,0)</f>
        <v>0</v>
      </c>
      <c r="F26" s="40" t="s">
        <v>237</v>
      </c>
    </row>
    <row r="27" customFormat="false" ht="15" hidden="false" customHeight="true" outlineLevel="0" collapsed="false">
      <c r="B27" s="46" t="s">
        <v>238</v>
      </c>
      <c r="C27" s="47" t="n">
        <f aca="false">C24-C26</f>
        <v>2094617.3625</v>
      </c>
      <c r="D27" s="48" t="n">
        <f aca="false">D24-D26</f>
        <v>-255710.309999995</v>
      </c>
      <c r="E27" s="49" t="n">
        <f aca="false">E24-E26</f>
        <v>-10950471.88</v>
      </c>
      <c r="F27" s="40" t="s">
        <v>239</v>
      </c>
    </row>
    <row r="28" customFormat="false" ht="15" hidden="false" customHeight="true" outlineLevel="0" collapsed="false">
      <c r="B28" s="46" t="s">
        <v>240</v>
      </c>
      <c r="C28" s="50" t="n">
        <f aca="false">IF(C8=0,0,C27/C8)</f>
        <v>0.0521527191580157</v>
      </c>
      <c r="D28" s="51" t="n">
        <f aca="false">IF(D8=0,0,D27/D8)</f>
        <v>-0.00636678957311892</v>
      </c>
      <c r="E28" s="52" t="n">
        <f aca="false">IF(E8=0,0,E27/E8)</f>
        <v>-0.272649742539975</v>
      </c>
      <c r="F28" s="40"/>
    </row>
    <row r="30" customFormat="false" ht="15" hidden="false" customHeight="true" outlineLevel="0" collapsed="false">
      <c r="A30" s="5" t="s">
        <v>241</v>
      </c>
      <c r="B30" s="5"/>
      <c r="C30" s="5"/>
      <c r="D30" s="5"/>
      <c r="E30" s="5"/>
      <c r="F30" s="5"/>
    </row>
    <row r="31" customFormat="false" ht="42" hidden="false" customHeight="true" outlineLevel="0" collapsed="false">
      <c r="B31" s="29" t="s">
        <v>242</v>
      </c>
      <c r="C31" s="53" t="s">
        <v>243</v>
      </c>
      <c r="D31" s="53"/>
      <c r="E31" s="53"/>
      <c r="F31" s="53"/>
    </row>
    <row r="32" customFormat="false" ht="42" hidden="false" customHeight="true" outlineLevel="0" collapsed="false">
      <c r="B32" s="29" t="s">
        <v>244</v>
      </c>
      <c r="C32" s="53" t="s">
        <v>245</v>
      </c>
      <c r="D32" s="53"/>
      <c r="E32" s="53"/>
      <c r="F32" s="53"/>
    </row>
    <row r="33" customFormat="false" ht="42" hidden="false" customHeight="true" outlineLevel="0" collapsed="false">
      <c r="B33" s="29" t="s">
        <v>246</v>
      </c>
      <c r="C33" s="53" t="s">
        <v>247</v>
      </c>
      <c r="D33" s="53"/>
      <c r="E33" s="53"/>
      <c r="F33" s="53"/>
    </row>
  </sheetData>
  <mergeCells count="9">
    <mergeCell ref="A1:F1"/>
    <mergeCell ref="A2:F2"/>
    <mergeCell ref="A4:F4"/>
    <mergeCell ref="A9:F9"/>
    <mergeCell ref="A23:F23"/>
    <mergeCell ref="A30:F30"/>
    <mergeCell ref="C31:F31"/>
    <mergeCell ref="C32:F32"/>
    <mergeCell ref="C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15"/>
    <col collapsed="false" customWidth="true" hidden="false" outlineLevel="0" max="10" min="5" style="1" width="14"/>
  </cols>
  <sheetData>
    <row r="1" customFormat="false" ht="24" hidden="false" customHeight="true" outlineLevel="0" collapsed="false">
      <c r="A1" s="31" t="s">
        <v>248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4" hidden="false" customHeight="true" outlineLevel="0" collapsed="false">
      <c r="A2" s="32" t="s">
        <v>249</v>
      </c>
      <c r="B2" s="32"/>
      <c r="C2" s="32"/>
      <c r="D2" s="32"/>
      <c r="E2" s="32"/>
      <c r="F2" s="32"/>
      <c r="G2" s="32"/>
      <c r="H2" s="32"/>
      <c r="I2" s="32"/>
      <c r="J2" s="32"/>
    </row>
    <row r="3" customFormat="false" ht="15" hidden="false" customHeight="true" outlineLevel="0" collapsed="false">
      <c r="B3" s="18" t="s">
        <v>250</v>
      </c>
      <c r="C3" s="18" t="s">
        <v>251</v>
      </c>
      <c r="D3" s="18" t="s">
        <v>252</v>
      </c>
      <c r="E3" s="18" t="s">
        <v>253</v>
      </c>
      <c r="F3" s="18" t="s">
        <v>254</v>
      </c>
      <c r="G3" s="18" t="s">
        <v>255</v>
      </c>
      <c r="H3" s="18" t="s">
        <v>256</v>
      </c>
      <c r="I3" s="18" t="s">
        <v>257</v>
      </c>
      <c r="J3" s="18" t="s">
        <v>258</v>
      </c>
    </row>
    <row r="4" customFormat="false" ht="39.75" hidden="false" customHeight="true" outlineLevel="0" collapsed="false">
      <c r="B4" s="28" t="s">
        <v>259</v>
      </c>
      <c r="C4" s="9" t="s">
        <v>260</v>
      </c>
      <c r="D4" s="20" t="n">
        <f aca="false">02_Параметры!D5</f>
        <v>24822167</v>
      </c>
      <c r="E4" s="44" t="n">
        <f aca="false">02_Параметры!C5*02_Параметры!C11*02_Параметры!C12+02_Параметры!C5*(1-02_Параметры!C11)*(1-02_Параметры!C13)</f>
        <v>19361290.26</v>
      </c>
      <c r="F4" s="54" t="n">
        <f aca="false">02_Параметры!C5-E4</f>
        <v>5460876.74</v>
      </c>
      <c r="G4" s="44" t="n">
        <f aca="false">02_Параметры!D5*02_Параметры!D11*02_Параметры!D12+02_Параметры!D5*(1-02_Параметры!D11)*(1-02_Параметры!D13)</f>
        <v>19609511.93</v>
      </c>
      <c r="H4" s="54" t="n">
        <f aca="false">02_Параметры!D5-G4</f>
        <v>5212655.07</v>
      </c>
      <c r="I4" s="44" t="n">
        <f aca="false">02_Параметры!E5*02_Параметры!E11*02_Параметры!E12+02_Параметры!E5*(1-02_Параметры!E11)*(1-02_Параметры!E13)</f>
        <v>23581058.65</v>
      </c>
      <c r="J4" s="54" t="n">
        <f aca="false">02_Параметры!E5-I4</f>
        <v>1241108.35</v>
      </c>
    </row>
    <row r="5" customFormat="false" ht="39.75" hidden="false" customHeight="true" outlineLevel="0" collapsed="false">
      <c r="B5" s="28" t="s">
        <v>261</v>
      </c>
      <c r="C5" s="9" t="s">
        <v>262</v>
      </c>
      <c r="D5" s="20" t="n">
        <f aca="false">02_Параметры!D6</f>
        <v>11086179</v>
      </c>
      <c r="E5" s="44" t="n">
        <f aca="false">02_Параметры!C6*(1-02_Параметры!C14)</f>
        <v>10310146.47</v>
      </c>
      <c r="F5" s="54" t="n">
        <f aca="false">02_Параметры!C6-E5</f>
        <v>776032.530000001</v>
      </c>
      <c r="G5" s="44" t="n">
        <f aca="false">02_Параметры!D6*(1-02_Параметры!D14)</f>
        <v>10421008.26</v>
      </c>
      <c r="H5" s="54" t="n">
        <f aca="false">02_Параметры!D6-G5</f>
        <v>665170.74</v>
      </c>
      <c r="I5" s="44" t="n">
        <f aca="false">02_Параметры!E6*(1-02_Параметры!E14)</f>
        <v>10531870.05</v>
      </c>
      <c r="J5" s="54" t="n">
        <f aca="false">02_Параметры!E6-I5</f>
        <v>554308.950000001</v>
      </c>
    </row>
    <row r="6" customFormat="false" ht="39.75" hidden="false" customHeight="true" outlineLevel="0" collapsed="false">
      <c r="B6" s="28" t="s">
        <v>263</v>
      </c>
      <c r="C6" s="9" t="s">
        <v>264</v>
      </c>
      <c r="D6" s="20" t="n">
        <f aca="false">02_Параметры!D7</f>
        <v>1245253</v>
      </c>
      <c r="E6" s="44" t="n">
        <f aca="false">02_Параметры!C7*(1-02_Параметры!C15)</f>
        <v>1170537.82</v>
      </c>
      <c r="F6" s="54" t="n">
        <f aca="false">02_Параметры!C7-E6</f>
        <v>74715.1800000002</v>
      </c>
      <c r="G6" s="44" t="n">
        <f aca="false">02_Параметры!D7*(1-02_Параметры!D15)</f>
        <v>1170537.82</v>
      </c>
      <c r="H6" s="54" t="n">
        <f aca="false">02_Параметры!D7-G6</f>
        <v>74715.1800000002</v>
      </c>
      <c r="I6" s="44" t="n">
        <f aca="false">02_Параметры!E7*(1-02_Параметры!E15)</f>
        <v>1195442.88</v>
      </c>
      <c r="J6" s="54" t="n">
        <f aca="false">02_Параметры!E7-I6</f>
        <v>49810.1200000001</v>
      </c>
    </row>
    <row r="7" customFormat="false" ht="15" hidden="false" customHeight="true" outlineLevel="0" collapsed="false">
      <c r="B7" s="16" t="s">
        <v>265</v>
      </c>
      <c r="C7" s="16" t="s">
        <v>266</v>
      </c>
      <c r="D7" s="55" t="n">
        <f aca="false">D4+D5+D6</f>
        <v>37153599</v>
      </c>
      <c r="E7" s="45" t="n">
        <f aca="false">E4+E5+E6</f>
        <v>30841974.55</v>
      </c>
      <c r="F7" s="45" t="n">
        <f aca="false">F4+F5+F6</f>
        <v>6311624.45</v>
      </c>
      <c r="G7" s="45" t="n">
        <f aca="false">G4+G5+G6</f>
        <v>31201058.01</v>
      </c>
      <c r="H7" s="45" t="n">
        <f aca="false">H4+H5+H6</f>
        <v>5952540.99</v>
      </c>
      <c r="I7" s="45" t="n">
        <f aca="false">I4+I5+I6</f>
        <v>35308371.58</v>
      </c>
      <c r="J7" s="45" t="n">
        <f aca="false">J4+J5+J6</f>
        <v>1845227.42</v>
      </c>
    </row>
    <row r="8" customFormat="false" ht="39.75" hidden="false" customHeight="true" outlineLevel="0" collapsed="false">
      <c r="B8" s="56" t="s">
        <v>267</v>
      </c>
      <c r="C8" s="57" t="s">
        <v>268</v>
      </c>
      <c r="D8" s="58" t="n">
        <v>64710398</v>
      </c>
      <c r="E8" s="59"/>
      <c r="F8" s="59"/>
      <c r="G8" s="59"/>
      <c r="H8" s="59"/>
      <c r="I8" s="59"/>
      <c r="J8" s="59"/>
    </row>
    <row r="10" customFormat="false" ht="15" hidden="false" customHeight="true" outlineLevel="0" collapsed="false">
      <c r="B10" s="60" t="s">
        <v>269</v>
      </c>
      <c r="C10" s="60"/>
      <c r="D10" s="60"/>
      <c r="E10" s="60"/>
      <c r="F10" s="60"/>
      <c r="G10" s="60"/>
      <c r="H10" s="60"/>
      <c r="I10" s="60"/>
      <c r="J10" s="60"/>
    </row>
    <row r="11" customFormat="false" ht="15" hidden="false" customHeight="true" outlineLevel="0" collapsed="false">
      <c r="B11" s="60"/>
      <c r="C11" s="60"/>
      <c r="D11" s="60"/>
      <c r="E11" s="60"/>
      <c r="F11" s="60"/>
      <c r="G11" s="60"/>
      <c r="H11" s="60"/>
      <c r="I11" s="60"/>
      <c r="J11" s="60"/>
    </row>
    <row r="12" customFormat="false" ht="15" hidden="false" customHeight="true" outlineLevel="0" collapsed="false">
      <c r="B12" s="60"/>
      <c r="C12" s="60"/>
      <c r="D12" s="60"/>
      <c r="E12" s="60"/>
      <c r="F12" s="60"/>
      <c r="G12" s="60"/>
      <c r="H12" s="60"/>
      <c r="I12" s="60"/>
      <c r="J12" s="60"/>
    </row>
    <row r="13" customFormat="false" ht="15" hidden="false" customHeight="true" outlineLevel="0" collapsed="false">
      <c r="B13" s="60"/>
      <c r="C13" s="60"/>
      <c r="D13" s="60"/>
      <c r="E13" s="60"/>
      <c r="F13" s="60"/>
      <c r="G13" s="60"/>
      <c r="H13" s="60"/>
      <c r="I13" s="60"/>
      <c r="J13" s="60"/>
    </row>
  </sheetData>
  <mergeCells count="3">
    <mergeCell ref="A1:J1"/>
    <mergeCell ref="A2:J2"/>
    <mergeCell ref="B10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8" min="4" style="1" width="14"/>
    <col collapsed="false" customWidth="true" hidden="false" outlineLevel="0" max="9" min="9" style="1" width="13"/>
    <col collapsed="false" customWidth="true" hidden="false" outlineLevel="0" max="10" min="10" style="1" width="30"/>
    <col collapsed="false" customWidth="true" hidden="false" outlineLevel="0" max="11" min="11" style="1" width="32"/>
  </cols>
  <sheetData>
    <row r="1" customFormat="false" ht="24" hidden="false" customHeight="true" outlineLevel="0" collapsed="false">
      <c r="A1" s="31" t="s">
        <v>270</v>
      </c>
      <c r="B1" s="31"/>
      <c r="C1" s="31"/>
      <c r="D1" s="31"/>
      <c r="E1" s="31"/>
      <c r="F1" s="31"/>
      <c r="G1" s="31"/>
      <c r="H1" s="31"/>
      <c r="I1" s="31"/>
      <c r="J1" s="31"/>
    </row>
    <row r="2" customFormat="false" ht="24" hidden="false" customHeight="true" outlineLevel="0" collapsed="false">
      <c r="A2" s="32" t="s">
        <v>271</v>
      </c>
      <c r="B2" s="32"/>
      <c r="C2" s="32"/>
      <c r="D2" s="32"/>
      <c r="E2" s="32"/>
      <c r="F2" s="32"/>
      <c r="G2" s="32"/>
      <c r="H2" s="32"/>
      <c r="I2" s="32"/>
      <c r="J2" s="32"/>
    </row>
    <row r="3" customFormat="false" ht="21.75" hidden="false" customHeight="true" outlineLevel="0" collapsed="false">
      <c r="B3" s="18" t="s">
        <v>272</v>
      </c>
      <c r="C3" s="18" t="s">
        <v>273</v>
      </c>
      <c r="D3" s="18" t="s">
        <v>274</v>
      </c>
      <c r="E3" s="18" t="s">
        <v>275</v>
      </c>
      <c r="F3" s="18" t="s">
        <v>276</v>
      </c>
      <c r="G3" s="18" t="s">
        <v>277</v>
      </c>
      <c r="H3" s="18" t="s">
        <v>278</v>
      </c>
      <c r="I3" s="18" t="s">
        <v>279</v>
      </c>
      <c r="J3" s="18" t="s">
        <v>280</v>
      </c>
      <c r="K3" s="18" t="s">
        <v>281</v>
      </c>
    </row>
    <row r="4" customFormat="false" ht="15" hidden="false" customHeight="true" outlineLevel="0" collapsed="false">
      <c r="B4" s="61" t="s">
        <v>282</v>
      </c>
      <c r="C4" s="61"/>
      <c r="D4" s="61"/>
      <c r="E4" s="61"/>
      <c r="F4" s="61"/>
      <c r="G4" s="61"/>
      <c r="H4" s="61"/>
      <c r="I4" s="61"/>
      <c r="J4" s="61"/>
      <c r="K4" s="61"/>
    </row>
    <row r="5" customFormat="false" ht="25.5" hidden="false" customHeight="true" outlineLevel="0" collapsed="false">
      <c r="B5" s="9" t="s">
        <v>283</v>
      </c>
      <c r="C5" s="62" t="s">
        <v>284</v>
      </c>
      <c r="D5" s="63" t="n">
        <v>4960</v>
      </c>
      <c r="E5" s="64" t="n">
        <v>110</v>
      </c>
      <c r="F5" s="64" t="n">
        <v>140</v>
      </c>
      <c r="G5" s="65" t="n">
        <v>600160</v>
      </c>
      <c r="H5" s="65" t="n">
        <v>763840</v>
      </c>
      <c r="I5" s="66" t="n">
        <f aca="false">(G5+H5)/2</f>
        <v>682000</v>
      </c>
      <c r="J5" s="28" t="s">
        <v>285</v>
      </c>
      <c r="K5" s="40" t="s">
        <v>286</v>
      </c>
    </row>
    <row r="6" customFormat="false" ht="25.5" hidden="false" customHeight="true" outlineLevel="0" collapsed="false">
      <c r="B6" s="9" t="s">
        <v>287</v>
      </c>
      <c r="C6" s="62" t="s">
        <v>284</v>
      </c>
      <c r="D6" s="63" t="n">
        <v>5000</v>
      </c>
      <c r="E6" s="64" t="n">
        <v>35</v>
      </c>
      <c r="F6" s="64" t="n">
        <v>70</v>
      </c>
      <c r="G6" s="65" t="n">
        <v>192500</v>
      </c>
      <c r="H6" s="65" t="n">
        <v>385000</v>
      </c>
      <c r="I6" s="66" t="n">
        <f aca="false">(G6+H6)/2</f>
        <v>288750</v>
      </c>
      <c r="J6" s="28" t="s">
        <v>285</v>
      </c>
      <c r="K6" s="40" t="s">
        <v>288</v>
      </c>
    </row>
    <row r="7" customFormat="false" ht="25.5" hidden="false" customHeight="true" outlineLevel="0" collapsed="false">
      <c r="B7" s="9" t="s">
        <v>289</v>
      </c>
      <c r="C7" s="62" t="s">
        <v>284</v>
      </c>
      <c r="D7" s="63" t="n">
        <v>600</v>
      </c>
      <c r="E7" s="64" t="n">
        <v>90</v>
      </c>
      <c r="F7" s="64" t="n">
        <v>130</v>
      </c>
      <c r="G7" s="65" t="n">
        <v>59400</v>
      </c>
      <c r="H7" s="65" t="n">
        <v>85800</v>
      </c>
      <c r="I7" s="66" t="n">
        <f aca="false">(G7+H7)/2</f>
        <v>72600</v>
      </c>
      <c r="J7" s="28" t="s">
        <v>285</v>
      </c>
      <c r="K7" s="40" t="s">
        <v>290</v>
      </c>
    </row>
    <row r="8" customFormat="false" ht="25.5" hidden="false" customHeight="true" outlineLevel="0" collapsed="false">
      <c r="B8" s="9" t="s">
        <v>291</v>
      </c>
      <c r="C8" s="62" t="s">
        <v>292</v>
      </c>
      <c r="D8" s="63" t="n">
        <v>1</v>
      </c>
      <c r="E8" s="64" t="n">
        <v>80000</v>
      </c>
      <c r="F8" s="64" t="n">
        <v>180000</v>
      </c>
      <c r="G8" s="65" t="n">
        <v>86400</v>
      </c>
      <c r="H8" s="65" t="n">
        <v>194400</v>
      </c>
      <c r="I8" s="66" t="n">
        <f aca="false">(G8+H8)/2</f>
        <v>140400</v>
      </c>
      <c r="J8" s="28" t="s">
        <v>285</v>
      </c>
      <c r="K8" s="40" t="s">
        <v>293</v>
      </c>
    </row>
    <row r="9" customFormat="false" ht="25.5" hidden="false" customHeight="true" outlineLevel="0" collapsed="false">
      <c r="B9" s="9" t="s">
        <v>294</v>
      </c>
      <c r="C9" s="62" t="s">
        <v>295</v>
      </c>
      <c r="D9" s="63" t="n">
        <v>0.078</v>
      </c>
      <c r="E9" s="64" t="n">
        <v>60000</v>
      </c>
      <c r="F9" s="64" t="n">
        <v>66000</v>
      </c>
      <c r="G9" s="65" t="n">
        <v>5242</v>
      </c>
      <c r="H9" s="65" t="n">
        <v>5766</v>
      </c>
      <c r="I9" s="66" t="n">
        <f aca="false">(G9+H9)/2</f>
        <v>5504</v>
      </c>
      <c r="J9" s="28" t="s">
        <v>285</v>
      </c>
      <c r="K9" s="40" t="s">
        <v>296</v>
      </c>
    </row>
    <row r="10" customFormat="false" ht="25.5" hidden="false" customHeight="true" outlineLevel="0" collapsed="false">
      <c r="B10" s="9" t="s">
        <v>297</v>
      </c>
      <c r="C10" s="62" t="s">
        <v>298</v>
      </c>
      <c r="D10" s="63" t="n">
        <v>133</v>
      </c>
      <c r="E10" s="64" t="n">
        <v>3500</v>
      </c>
      <c r="F10" s="64" t="n">
        <v>8000</v>
      </c>
      <c r="G10" s="65" t="n">
        <v>502740</v>
      </c>
      <c r="H10" s="65" t="n">
        <v>1149120</v>
      </c>
      <c r="I10" s="66" t="n">
        <f aca="false">(G10+H10)/2</f>
        <v>825930</v>
      </c>
      <c r="J10" s="28" t="s">
        <v>285</v>
      </c>
      <c r="K10" s="40" t="s">
        <v>299</v>
      </c>
    </row>
    <row r="11" customFormat="false" ht="25.5" hidden="false" customHeight="true" outlineLevel="0" collapsed="false">
      <c r="B11" s="9" t="s">
        <v>300</v>
      </c>
      <c r="C11" s="62" t="s">
        <v>298</v>
      </c>
      <c r="D11" s="63" t="n">
        <v>3</v>
      </c>
      <c r="E11" s="64" t="n">
        <v>120000</v>
      </c>
      <c r="F11" s="64" t="n">
        <v>220000</v>
      </c>
      <c r="G11" s="65" t="n">
        <v>381600</v>
      </c>
      <c r="H11" s="65" t="n">
        <v>699600</v>
      </c>
      <c r="I11" s="66" t="n">
        <f aca="false">(G11+H11)/2</f>
        <v>540600</v>
      </c>
      <c r="J11" s="28" t="s">
        <v>285</v>
      </c>
      <c r="K11" s="40" t="s">
        <v>301</v>
      </c>
    </row>
    <row r="12" customFormat="false" ht="25.5" hidden="false" customHeight="true" outlineLevel="0" collapsed="false">
      <c r="B12" s="9" t="s">
        <v>302</v>
      </c>
      <c r="C12" s="62" t="s">
        <v>298</v>
      </c>
      <c r="D12" s="63" t="n">
        <v>3</v>
      </c>
      <c r="E12" s="64" t="n">
        <v>18000</v>
      </c>
      <c r="F12" s="64" t="n">
        <v>28000</v>
      </c>
      <c r="G12" s="65" t="n">
        <v>59400</v>
      </c>
      <c r="H12" s="65" t="n">
        <v>92400</v>
      </c>
      <c r="I12" s="66" t="n">
        <f aca="false">(G12+H12)/2</f>
        <v>75900</v>
      </c>
      <c r="J12" s="28" t="s">
        <v>285</v>
      </c>
      <c r="K12" s="40" t="s">
        <v>303</v>
      </c>
    </row>
    <row r="13" customFormat="false" ht="25.5" hidden="false" customHeight="true" outlineLevel="0" collapsed="false">
      <c r="B13" s="9" t="s">
        <v>304</v>
      </c>
      <c r="C13" s="62" t="s">
        <v>298</v>
      </c>
      <c r="D13" s="63" t="n">
        <v>1</v>
      </c>
      <c r="E13" s="64" t="n">
        <v>180000</v>
      </c>
      <c r="F13" s="64" t="n">
        <v>350000</v>
      </c>
      <c r="G13" s="65" t="n">
        <v>201600</v>
      </c>
      <c r="H13" s="65" t="n">
        <v>392000</v>
      </c>
      <c r="I13" s="66" t="n">
        <f aca="false">(G13+H13)/2</f>
        <v>296800</v>
      </c>
      <c r="J13" s="28" t="s">
        <v>285</v>
      </c>
      <c r="K13" s="40" t="s">
        <v>305</v>
      </c>
    </row>
    <row r="14" customFormat="false" ht="25.5" hidden="false" customHeight="true" outlineLevel="0" collapsed="false">
      <c r="B14" s="9" t="s">
        <v>306</v>
      </c>
      <c r="C14" s="62" t="s">
        <v>292</v>
      </c>
      <c r="D14" s="63" t="n">
        <v>1</v>
      </c>
      <c r="E14" s="64" t="n">
        <v>150000</v>
      </c>
      <c r="F14" s="64" t="n">
        <v>350000</v>
      </c>
      <c r="G14" s="65" t="n">
        <v>165000</v>
      </c>
      <c r="H14" s="65" t="n">
        <v>385000</v>
      </c>
      <c r="I14" s="66" t="n">
        <f aca="false">(G14+H14)/2</f>
        <v>275000</v>
      </c>
      <c r="J14" s="28" t="s">
        <v>285</v>
      </c>
      <c r="K14" s="40" t="s">
        <v>307</v>
      </c>
    </row>
    <row r="15" customFormat="false" ht="25.5" hidden="false" customHeight="true" outlineLevel="0" collapsed="false">
      <c r="B15" s="9" t="s">
        <v>308</v>
      </c>
      <c r="C15" s="62" t="s">
        <v>292</v>
      </c>
      <c r="D15" s="63" t="n">
        <v>1</v>
      </c>
      <c r="E15" s="64" t="n">
        <v>100000</v>
      </c>
      <c r="F15" s="64" t="n">
        <v>250000</v>
      </c>
      <c r="G15" s="65" t="n">
        <v>110000</v>
      </c>
      <c r="H15" s="65" t="n">
        <v>275000</v>
      </c>
      <c r="I15" s="66" t="n">
        <f aca="false">(G15+H15)/2</f>
        <v>192500</v>
      </c>
      <c r="J15" s="28" t="s">
        <v>285</v>
      </c>
      <c r="K15" s="40" t="s">
        <v>309</v>
      </c>
    </row>
    <row r="16" customFormat="false" ht="25.5" hidden="false" customHeight="true" outlineLevel="0" collapsed="false">
      <c r="B16" s="9" t="s">
        <v>310</v>
      </c>
      <c r="C16" s="62" t="s">
        <v>292</v>
      </c>
      <c r="D16" s="63" t="n">
        <v>133</v>
      </c>
      <c r="E16" s="64" t="n">
        <v>1500</v>
      </c>
      <c r="F16" s="64" t="n">
        <v>3500</v>
      </c>
      <c r="G16" s="65" t="n">
        <v>215460</v>
      </c>
      <c r="H16" s="65" t="n">
        <v>502740</v>
      </c>
      <c r="I16" s="66" t="n">
        <f aca="false">(G16+H16)/2</f>
        <v>359100</v>
      </c>
      <c r="J16" s="28" t="s">
        <v>285</v>
      </c>
      <c r="K16" s="40" t="s">
        <v>311</v>
      </c>
    </row>
    <row r="17" customFormat="false" ht="25.5" hidden="false" customHeight="true" outlineLevel="0" collapsed="false">
      <c r="B17" s="9" t="s">
        <v>312</v>
      </c>
      <c r="C17" s="62" t="s">
        <v>298</v>
      </c>
      <c r="D17" s="63" t="n">
        <v>2</v>
      </c>
      <c r="E17" s="64" t="n">
        <v>35000</v>
      </c>
      <c r="F17" s="64" t="n">
        <v>60000</v>
      </c>
      <c r="G17" s="65" t="n">
        <v>77000</v>
      </c>
      <c r="H17" s="65" t="n">
        <v>132000</v>
      </c>
      <c r="I17" s="66" t="n">
        <f aca="false">(G17+H17)/2</f>
        <v>104500</v>
      </c>
      <c r="J17" s="28" t="s">
        <v>285</v>
      </c>
      <c r="K17" s="40" t="s">
        <v>313</v>
      </c>
    </row>
    <row r="18" customFormat="false" ht="25.5" hidden="false" customHeight="true" outlineLevel="0" collapsed="false">
      <c r="B18" s="9" t="s">
        <v>314</v>
      </c>
      <c r="C18" s="62" t="s">
        <v>298</v>
      </c>
      <c r="D18" s="63" t="n">
        <v>2</v>
      </c>
      <c r="E18" s="64" t="n">
        <v>4000</v>
      </c>
      <c r="F18" s="64" t="n">
        <v>9000</v>
      </c>
      <c r="G18" s="65" t="n">
        <v>8800</v>
      </c>
      <c r="H18" s="65" t="n">
        <v>19800</v>
      </c>
      <c r="I18" s="66" t="n">
        <f aca="false">(G18+H18)/2</f>
        <v>14300</v>
      </c>
      <c r="J18" s="28" t="s">
        <v>285</v>
      </c>
      <c r="K18" s="40" t="s">
        <v>315</v>
      </c>
    </row>
    <row r="19" customFormat="false" ht="25.5" hidden="false" customHeight="true" outlineLevel="0" collapsed="false">
      <c r="B19" s="9" t="s">
        <v>316</v>
      </c>
      <c r="C19" s="62" t="s">
        <v>292</v>
      </c>
      <c r="D19" s="63" t="n">
        <v>1</v>
      </c>
      <c r="E19" s="64" t="n">
        <v>1200000</v>
      </c>
      <c r="F19" s="64" t="n">
        <v>1600000</v>
      </c>
      <c r="G19" s="65" t="n">
        <v>1236000</v>
      </c>
      <c r="H19" s="65" t="n">
        <v>1648000</v>
      </c>
      <c r="I19" s="66" t="n">
        <f aca="false">(G19+H19)/2</f>
        <v>1442000</v>
      </c>
      <c r="J19" s="28" t="s">
        <v>317</v>
      </c>
      <c r="K19" s="40" t="s">
        <v>318</v>
      </c>
    </row>
    <row r="20" customFormat="false" ht="15" hidden="false" customHeight="true" outlineLevel="0" collapsed="false">
      <c r="B20" s="61" t="s">
        <v>319</v>
      </c>
      <c r="C20" s="61"/>
      <c r="D20" s="61"/>
      <c r="E20" s="61"/>
      <c r="F20" s="61"/>
      <c r="G20" s="61"/>
      <c r="H20" s="61"/>
      <c r="I20" s="61"/>
      <c r="J20" s="61"/>
      <c r="K20" s="61"/>
    </row>
    <row r="21" customFormat="false" ht="25.5" hidden="false" customHeight="true" outlineLevel="0" collapsed="false">
      <c r="B21" s="9" t="s">
        <v>320</v>
      </c>
      <c r="C21" s="62" t="s">
        <v>298</v>
      </c>
      <c r="D21" s="63" t="n">
        <v>127</v>
      </c>
      <c r="E21" s="64" t="n">
        <v>35000</v>
      </c>
      <c r="F21" s="64" t="n">
        <v>52000</v>
      </c>
      <c r="G21" s="65" t="n">
        <v>4711700</v>
      </c>
      <c r="H21" s="65" t="n">
        <v>7000240</v>
      </c>
      <c r="I21" s="66" t="n">
        <f aca="false">(G21+H21)/2</f>
        <v>5855970</v>
      </c>
      <c r="J21" s="28" t="s">
        <v>321</v>
      </c>
      <c r="K21" s="40" t="s">
        <v>322</v>
      </c>
    </row>
    <row r="22" customFormat="false" ht="25.5" hidden="false" customHeight="true" outlineLevel="0" collapsed="false">
      <c r="B22" s="9" t="s">
        <v>323</v>
      </c>
      <c r="C22" s="62" t="s">
        <v>298</v>
      </c>
      <c r="D22" s="63" t="n">
        <v>6</v>
      </c>
      <c r="E22" s="64" t="n">
        <v>55000</v>
      </c>
      <c r="F22" s="64" t="n">
        <v>85000</v>
      </c>
      <c r="G22" s="65" t="n">
        <v>349800</v>
      </c>
      <c r="H22" s="65" t="n">
        <v>540600</v>
      </c>
      <c r="I22" s="66" t="n">
        <f aca="false">(G22+H22)/2</f>
        <v>445200</v>
      </c>
      <c r="J22" s="28" t="s">
        <v>321</v>
      </c>
      <c r="K22" s="40" t="s">
        <v>324</v>
      </c>
    </row>
    <row r="23" customFormat="false" ht="15" hidden="false" customHeight="true" outlineLevel="0" collapsed="false">
      <c r="B23" s="61" t="s">
        <v>325</v>
      </c>
      <c r="C23" s="61"/>
      <c r="D23" s="61"/>
      <c r="E23" s="61"/>
      <c r="F23" s="61"/>
      <c r="G23" s="61"/>
      <c r="H23" s="61"/>
      <c r="I23" s="61"/>
      <c r="J23" s="61"/>
      <c r="K23" s="61"/>
    </row>
    <row r="24" customFormat="false" ht="25.5" hidden="false" customHeight="true" outlineLevel="0" collapsed="false">
      <c r="B24" s="9" t="s">
        <v>326</v>
      </c>
      <c r="C24" s="62" t="s">
        <v>292</v>
      </c>
      <c r="D24" s="63" t="n">
        <v>1</v>
      </c>
      <c r="E24" s="64" t="n">
        <v>15810000</v>
      </c>
      <c r="F24" s="64" t="n">
        <v>45600000</v>
      </c>
      <c r="G24" s="65" t="n">
        <v>15810000</v>
      </c>
      <c r="H24" s="65" t="n">
        <v>45600000</v>
      </c>
      <c r="I24" s="66" t="n">
        <f aca="false">(G24+H24)/2</f>
        <v>30705000</v>
      </c>
      <c r="J24" s="28" t="s">
        <v>327</v>
      </c>
      <c r="K24" s="40" t="s">
        <v>328</v>
      </c>
    </row>
    <row r="25" customFormat="false" ht="15" hidden="false" customHeight="true" outlineLevel="0" collapsed="false">
      <c r="B25" s="16" t="s">
        <v>329</v>
      </c>
      <c r="C25" s="67"/>
      <c r="D25" s="67"/>
      <c r="E25" s="67"/>
      <c r="F25" s="67"/>
      <c r="G25" s="67"/>
      <c r="H25" s="67"/>
      <c r="I25" s="55" t="n">
        <f aca="false">SUM(I5:I19)</f>
        <v>5315884</v>
      </c>
      <c r="J25" s="67"/>
      <c r="K25" s="67"/>
    </row>
    <row r="27" customFormat="false" ht="15" hidden="false" customHeight="true" outlineLevel="0" collapsed="false">
      <c r="B27" s="60" t="s">
        <v>330</v>
      </c>
      <c r="C27" s="60"/>
      <c r="D27" s="60"/>
      <c r="E27" s="60"/>
      <c r="F27" s="60"/>
      <c r="G27" s="60"/>
      <c r="H27" s="60"/>
      <c r="I27" s="60"/>
      <c r="J27" s="60"/>
      <c r="K27" s="60"/>
    </row>
    <row r="28" customFormat="false" ht="15" hidden="false" customHeight="true" outlineLevel="0" collapsed="false"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customFormat="false" ht="15" hidden="false" customHeight="true" outlineLevel="0" collapsed="false"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customFormat="false" ht="15" hidden="false" customHeight="true" outlineLevel="0" collapsed="false">
      <c r="B30" s="60"/>
      <c r="C30" s="60"/>
      <c r="D30" s="60"/>
      <c r="E30" s="60"/>
      <c r="F30" s="60"/>
      <c r="G30" s="60"/>
      <c r="H30" s="60"/>
      <c r="I30" s="60"/>
      <c r="J30" s="60"/>
      <c r="K30" s="60"/>
    </row>
  </sheetData>
  <mergeCells count="6">
    <mergeCell ref="A1:J1"/>
    <mergeCell ref="A2:J2"/>
    <mergeCell ref="B4:K4"/>
    <mergeCell ref="B20:K20"/>
    <mergeCell ref="B23:K23"/>
    <mergeCell ref="B27:K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6" min="3" style="1" width="13"/>
    <col collapsed="false" customWidth="true" hidden="false" outlineLevel="0" max="7" min="7" style="1" width="40"/>
  </cols>
  <sheetData>
    <row r="1" customFormat="false" ht="24" hidden="false" customHeight="true" outlineLevel="0" collapsed="false">
      <c r="A1" s="31" t="s">
        <v>331</v>
      </c>
      <c r="B1" s="31"/>
      <c r="C1" s="31"/>
      <c r="D1" s="31"/>
      <c r="E1" s="31"/>
      <c r="F1" s="31"/>
      <c r="G1" s="31"/>
    </row>
    <row r="2" customFormat="false" ht="24" hidden="false" customHeight="true" outlineLevel="0" collapsed="false">
      <c r="A2" s="32" t="s">
        <v>332</v>
      </c>
      <c r="B2" s="32"/>
      <c r="C2" s="32"/>
      <c r="D2" s="32"/>
      <c r="E2" s="32"/>
      <c r="F2" s="32"/>
      <c r="G2" s="32"/>
    </row>
    <row r="3" customFormat="false" ht="18.75" hidden="false" customHeight="true" outlineLevel="0" collapsed="false">
      <c r="B3" s="68" t="s">
        <v>333</v>
      </c>
      <c r="C3" s="69" t="n">
        <v>6</v>
      </c>
      <c r="D3" s="70" t="s">
        <v>334</v>
      </c>
      <c r="E3" s="70"/>
      <c r="F3" s="70"/>
      <c r="G3" s="70"/>
    </row>
    <row r="5" customFormat="false" ht="15" hidden="false" customHeight="true" outlineLevel="0" collapsed="false">
      <c r="B5" s="18" t="s">
        <v>335</v>
      </c>
      <c r="C5" s="18" t="s">
        <v>336</v>
      </c>
      <c r="D5" s="18" t="s">
        <v>337</v>
      </c>
      <c r="E5" s="18" t="s">
        <v>338</v>
      </c>
      <c r="F5" s="18" t="s">
        <v>339</v>
      </c>
      <c r="G5" s="18" t="s">
        <v>340</v>
      </c>
    </row>
    <row r="6" customFormat="false" ht="27.75" hidden="false" customHeight="true" outlineLevel="0" collapsed="false">
      <c r="B6" s="9" t="s">
        <v>341</v>
      </c>
      <c r="C6" s="71" t="n">
        <v>180000</v>
      </c>
      <c r="D6" s="72" t="n">
        <v>0.5</v>
      </c>
      <c r="E6" s="73" t="n">
        <f aca="false">$C$3</f>
        <v>6</v>
      </c>
      <c r="F6" s="74" t="n">
        <f aca="false">C6*D6*E6</f>
        <v>540000</v>
      </c>
      <c r="G6" s="40" t="s">
        <v>342</v>
      </c>
    </row>
    <row r="7" customFormat="false" ht="27.75" hidden="false" customHeight="true" outlineLevel="0" collapsed="false">
      <c r="B7" s="9" t="s">
        <v>343</v>
      </c>
      <c r="C7" s="71" t="n">
        <v>140000</v>
      </c>
      <c r="D7" s="72" t="n">
        <v>1</v>
      </c>
      <c r="E7" s="73" t="n">
        <f aca="false">$C$3</f>
        <v>6</v>
      </c>
      <c r="F7" s="74" t="n">
        <f aca="false">C7*D7*E7</f>
        <v>840000</v>
      </c>
      <c r="G7" s="40" t="s">
        <v>344</v>
      </c>
    </row>
    <row r="8" customFormat="false" ht="27.75" hidden="false" customHeight="true" outlineLevel="0" collapsed="false">
      <c r="B8" s="9" t="s">
        <v>345</v>
      </c>
      <c r="C8" s="71" t="n">
        <v>110000</v>
      </c>
      <c r="D8" s="72" t="n">
        <v>0.5</v>
      </c>
      <c r="E8" s="73" t="n">
        <f aca="false">$C$3</f>
        <v>6</v>
      </c>
      <c r="F8" s="74" t="n">
        <f aca="false">C8*D8*E8</f>
        <v>330000</v>
      </c>
      <c r="G8" s="40" t="s">
        <v>346</v>
      </c>
    </row>
    <row r="9" customFormat="false" ht="27.75" hidden="false" customHeight="true" outlineLevel="0" collapsed="false">
      <c r="B9" s="9" t="s">
        <v>347</v>
      </c>
      <c r="C9" s="71" t="n">
        <v>90000</v>
      </c>
      <c r="D9" s="72" t="n">
        <v>0.4</v>
      </c>
      <c r="E9" s="73" t="n">
        <f aca="false">$C$3</f>
        <v>6</v>
      </c>
      <c r="F9" s="74" t="n">
        <f aca="false">C9*D9*E9</f>
        <v>216000</v>
      </c>
      <c r="G9" s="40" t="s">
        <v>348</v>
      </c>
    </row>
    <row r="10" customFormat="false" ht="27.75" hidden="false" customHeight="true" outlineLevel="0" collapsed="false">
      <c r="B10" s="9" t="s">
        <v>349</v>
      </c>
      <c r="C10" s="71" t="n">
        <v>100000</v>
      </c>
      <c r="D10" s="72" t="n">
        <v>0.3</v>
      </c>
      <c r="E10" s="73" t="n">
        <f aca="false">$C$3</f>
        <v>6</v>
      </c>
      <c r="F10" s="74" t="n">
        <f aca="false">C10*D10*E10</f>
        <v>180000</v>
      </c>
      <c r="G10" s="40" t="s">
        <v>350</v>
      </c>
    </row>
    <row r="11" customFormat="false" ht="15" hidden="false" customHeight="true" outlineLevel="0" collapsed="false">
      <c r="B11" s="16" t="s">
        <v>351</v>
      </c>
      <c r="C11" s="67"/>
      <c r="D11" s="67"/>
      <c r="E11" s="67"/>
      <c r="F11" s="55" t="n">
        <f aca="false">SUM(F6:F10)</f>
        <v>2106000</v>
      </c>
      <c r="G11" s="67"/>
    </row>
    <row r="12" customFormat="false" ht="15" hidden="false" customHeight="true" outlineLevel="0" collapsed="false">
      <c r="B12" s="9" t="s">
        <v>352</v>
      </c>
      <c r="C12" s="75"/>
      <c r="D12" s="75"/>
      <c r="E12" s="75"/>
      <c r="F12" s="74" t="n">
        <f aca="false">F11*0.3</f>
        <v>631800</v>
      </c>
      <c r="G12" s="40" t="s">
        <v>353</v>
      </c>
    </row>
    <row r="13" customFormat="false" ht="21.75" hidden="false" customHeight="true" outlineLevel="0" collapsed="false">
      <c r="B13" s="9" t="s">
        <v>354</v>
      </c>
      <c r="C13" s="75"/>
      <c r="D13" s="75"/>
      <c r="E13" s="75"/>
      <c r="F13" s="74" t="n">
        <f aca="false">500000</f>
        <v>500000</v>
      </c>
      <c r="G13" s="40" t="s">
        <v>355</v>
      </c>
    </row>
    <row r="14" customFormat="false" ht="21.75" hidden="false" customHeight="true" outlineLevel="0" collapsed="false">
      <c r="B14" s="9" t="s">
        <v>356</v>
      </c>
      <c r="C14" s="75"/>
      <c r="D14" s="75"/>
      <c r="E14" s="75"/>
      <c r="F14" s="74" t="n">
        <f aca="false">400000</f>
        <v>400000</v>
      </c>
      <c r="G14" s="40" t="s">
        <v>357</v>
      </c>
    </row>
    <row r="15" customFormat="false" ht="15" hidden="false" customHeight="true" outlineLevel="0" collapsed="false">
      <c r="B15" s="76" t="s">
        <v>358</v>
      </c>
      <c r="C15" s="77"/>
      <c r="D15" s="77"/>
      <c r="E15" s="77"/>
      <c r="F15" s="78" t="n">
        <f aca="false">F11+SUM(F12:F14)</f>
        <v>3637800</v>
      </c>
      <c r="G15" s="77"/>
    </row>
    <row r="17" customFormat="false" ht="15" hidden="false" customHeight="true" outlineLevel="0" collapsed="false">
      <c r="B17" s="60" t="s">
        <v>359</v>
      </c>
      <c r="C17" s="60"/>
      <c r="D17" s="60"/>
      <c r="E17" s="60"/>
      <c r="F17" s="60"/>
      <c r="G17" s="60"/>
    </row>
    <row r="18" customFormat="false" ht="15" hidden="false" customHeight="true" outlineLevel="0" collapsed="false">
      <c r="B18" s="60"/>
      <c r="C18" s="60"/>
      <c r="D18" s="60"/>
      <c r="E18" s="60"/>
      <c r="F18" s="60"/>
      <c r="G18" s="60"/>
    </row>
    <row r="19" customFormat="false" ht="15" hidden="false" customHeight="true" outlineLevel="0" collapsed="false">
      <c r="B19" s="60"/>
      <c r="C19" s="60"/>
      <c r="D19" s="60"/>
      <c r="E19" s="60"/>
      <c r="F19" s="60"/>
      <c r="G19" s="60"/>
    </row>
    <row r="20" customFormat="false" ht="15" hidden="false" customHeight="true" outlineLevel="0" collapsed="false">
      <c r="B20" s="60"/>
      <c r="C20" s="60"/>
      <c r="D20" s="60"/>
      <c r="E20" s="60"/>
      <c r="F20" s="60"/>
      <c r="G20" s="60"/>
    </row>
  </sheetData>
  <mergeCells count="4">
    <mergeCell ref="A1:G1"/>
    <mergeCell ref="A2:G2"/>
    <mergeCell ref="D3:G3"/>
    <mergeCell ref="B17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5" min="3" style="1" width="13"/>
    <col collapsed="false" customWidth="true" hidden="false" outlineLevel="0" max="6" min="6" style="1" width="44"/>
    <col collapsed="false" customWidth="true" hidden="false" outlineLevel="0" max="7" min="7" style="1" width="40"/>
  </cols>
  <sheetData>
    <row r="1" customFormat="false" ht="24" hidden="false" customHeight="true" outlineLevel="0" collapsed="false">
      <c r="A1" s="31" t="s">
        <v>360</v>
      </c>
      <c r="B1" s="31"/>
      <c r="C1" s="31"/>
      <c r="D1" s="31"/>
      <c r="E1" s="31"/>
      <c r="F1" s="31"/>
    </row>
    <row r="2" customFormat="false" ht="24" hidden="false" customHeight="true" outlineLevel="0" collapsed="false">
      <c r="A2" s="32" t="s">
        <v>361</v>
      </c>
      <c r="B2" s="32"/>
      <c r="C2" s="32"/>
      <c r="D2" s="32"/>
      <c r="E2" s="32"/>
      <c r="F2" s="32"/>
    </row>
    <row r="3" customFormat="false" ht="15" hidden="false" customHeight="true" outlineLevel="0" collapsed="false">
      <c r="B3" s="18" t="s">
        <v>362</v>
      </c>
      <c r="C3" s="18" t="s">
        <v>363</v>
      </c>
      <c r="D3" s="18" t="s">
        <v>364</v>
      </c>
      <c r="E3" s="18" t="s">
        <v>365</v>
      </c>
      <c r="F3" s="18" t="s">
        <v>366</v>
      </c>
      <c r="G3" s="18" t="s">
        <v>281</v>
      </c>
    </row>
    <row r="4" customFormat="false" ht="15" hidden="false" customHeight="true" outlineLevel="0" collapsed="false">
      <c r="B4" s="61" t="s">
        <v>367</v>
      </c>
      <c r="C4" s="61"/>
      <c r="D4" s="61"/>
      <c r="E4" s="61"/>
      <c r="F4" s="61"/>
      <c r="G4" s="61"/>
    </row>
    <row r="5" customFormat="false" ht="15" hidden="false" customHeight="true" outlineLevel="0" collapsed="false">
      <c r="B5" s="9" t="s">
        <v>368</v>
      </c>
      <c r="C5" s="79" t="s">
        <v>369</v>
      </c>
      <c r="D5" s="71" t="n">
        <v>130000</v>
      </c>
      <c r="E5" s="74" t="n">
        <v>650000</v>
      </c>
      <c r="F5" s="79" t="s">
        <v>370</v>
      </c>
      <c r="G5" s="40" t="s">
        <v>371</v>
      </c>
    </row>
    <row r="6" customFormat="false" ht="21.75" hidden="false" customHeight="true" outlineLevel="0" collapsed="false">
      <c r="B6" s="9" t="s">
        <v>372</v>
      </c>
      <c r="C6" s="79" t="s">
        <v>373</v>
      </c>
      <c r="D6" s="71" t="n">
        <v>200000</v>
      </c>
      <c r="E6" s="74" t="n">
        <v>200000</v>
      </c>
      <c r="F6" s="79" t="s">
        <v>374</v>
      </c>
      <c r="G6" s="40" t="s">
        <v>375</v>
      </c>
    </row>
    <row r="7" customFormat="false" ht="15" hidden="false" customHeight="true" outlineLevel="0" collapsed="false">
      <c r="B7" s="61" t="s">
        <v>376</v>
      </c>
      <c r="C7" s="61"/>
      <c r="D7" s="61"/>
      <c r="E7" s="61"/>
      <c r="F7" s="61"/>
      <c r="G7" s="61"/>
    </row>
    <row r="8" customFormat="false" ht="15" hidden="false" customHeight="true" outlineLevel="0" collapsed="false">
      <c r="B8" s="9" t="s">
        <v>377</v>
      </c>
      <c r="C8" s="79" t="s">
        <v>373</v>
      </c>
      <c r="D8" s="71" t="n">
        <v>300000</v>
      </c>
      <c r="E8" s="74" t="n">
        <v>300000</v>
      </c>
      <c r="F8" s="79" t="s">
        <v>378</v>
      </c>
      <c r="G8" s="40" t="s">
        <v>379</v>
      </c>
    </row>
    <row r="9" customFormat="false" ht="15" hidden="false" customHeight="true" outlineLevel="0" collapsed="false">
      <c r="B9" s="9" t="s">
        <v>380</v>
      </c>
      <c r="C9" s="79" t="s">
        <v>373</v>
      </c>
      <c r="D9" s="71" t="n">
        <v>120000</v>
      </c>
      <c r="E9" s="74" t="n">
        <v>120000</v>
      </c>
      <c r="F9" s="79" t="s">
        <v>378</v>
      </c>
      <c r="G9" s="40" t="s">
        <v>381</v>
      </c>
    </row>
    <row r="10" customFormat="false" ht="15" hidden="false" customHeight="true" outlineLevel="0" collapsed="false">
      <c r="B10" s="9" t="s">
        <v>382</v>
      </c>
      <c r="C10" s="79" t="s">
        <v>373</v>
      </c>
      <c r="D10" s="71" t="n">
        <v>354583</v>
      </c>
      <c r="E10" s="74" t="n">
        <v>354583</v>
      </c>
      <c r="F10" s="79" t="s">
        <v>383</v>
      </c>
      <c r="G10" s="40" t="s">
        <v>384</v>
      </c>
    </row>
    <row r="11" customFormat="false" ht="15" hidden="false" customHeight="true" outlineLevel="0" collapsed="false">
      <c r="B11" s="9" t="s">
        <v>385</v>
      </c>
      <c r="C11" s="79" t="s">
        <v>373</v>
      </c>
      <c r="D11" s="71" t="n">
        <v>300000</v>
      </c>
      <c r="E11" s="74" t="n">
        <v>300000</v>
      </c>
      <c r="F11" s="79" t="s">
        <v>386</v>
      </c>
      <c r="G11" s="40" t="s">
        <v>387</v>
      </c>
    </row>
    <row r="12" customFormat="false" ht="15" hidden="false" customHeight="true" outlineLevel="0" collapsed="false">
      <c r="B12" s="61" t="s">
        <v>388</v>
      </c>
      <c r="C12" s="61"/>
      <c r="D12" s="61"/>
      <c r="E12" s="61"/>
      <c r="F12" s="61"/>
      <c r="G12" s="61"/>
    </row>
    <row r="13" customFormat="false" ht="15" hidden="false" customHeight="true" outlineLevel="0" collapsed="false">
      <c r="B13" s="9" t="s">
        <v>389</v>
      </c>
      <c r="C13" s="79" t="s">
        <v>373</v>
      </c>
      <c r="D13" s="71" t="n">
        <v>150000</v>
      </c>
      <c r="E13" s="74" t="n">
        <v>150000</v>
      </c>
      <c r="F13" s="79" t="s">
        <v>386</v>
      </c>
      <c r="G13" s="40" t="s">
        <v>390</v>
      </c>
    </row>
    <row r="14" customFormat="false" ht="15" hidden="false" customHeight="true" outlineLevel="0" collapsed="false">
      <c r="B14" s="9" t="s">
        <v>391</v>
      </c>
      <c r="C14" s="79" t="s">
        <v>373</v>
      </c>
      <c r="D14" s="71" t="n">
        <v>60000</v>
      </c>
      <c r="E14" s="74" t="n">
        <v>60000</v>
      </c>
      <c r="F14" s="79" t="s">
        <v>374</v>
      </c>
      <c r="G14" s="40" t="s">
        <v>392</v>
      </c>
    </row>
    <row r="15" customFormat="false" ht="15" hidden="false" customHeight="true" outlineLevel="0" collapsed="false">
      <c r="B15" s="16" t="s">
        <v>393</v>
      </c>
      <c r="C15" s="67"/>
      <c r="D15" s="67"/>
      <c r="E15" s="55" t="n">
        <f aca="false">SUM(E5:E14)</f>
        <v>2134583</v>
      </c>
      <c r="F15" s="67"/>
      <c r="G15" s="67"/>
    </row>
    <row r="16" customFormat="false" ht="15" hidden="false" customHeight="true" outlineLevel="0" collapsed="false">
      <c r="B16" s="80" t="s">
        <v>394</v>
      </c>
      <c r="C16" s="75"/>
      <c r="D16" s="75"/>
      <c r="E16" s="81" t="n">
        <v>354583</v>
      </c>
      <c r="F16" s="75"/>
      <c r="G16" s="75"/>
    </row>
    <row r="17" customFormat="false" ht="15" hidden="false" customHeight="true" outlineLevel="0" collapsed="false">
      <c r="B17" s="82" t="s">
        <v>395</v>
      </c>
      <c r="C17" s="59"/>
      <c r="D17" s="59"/>
      <c r="E17" s="83" t="n">
        <f aca="false">E15-354583</f>
        <v>1780000</v>
      </c>
      <c r="F17" s="59"/>
      <c r="G17" s="59"/>
    </row>
    <row r="19" customFormat="false" ht="15" hidden="false" customHeight="true" outlineLevel="0" collapsed="false">
      <c r="B19" s="60" t="s">
        <v>396</v>
      </c>
      <c r="C19" s="60"/>
      <c r="D19" s="60"/>
      <c r="E19" s="60"/>
      <c r="F19" s="60"/>
      <c r="G19" s="60"/>
    </row>
    <row r="20" customFormat="false" ht="15" hidden="false" customHeight="true" outlineLevel="0" collapsed="false">
      <c r="B20" s="60"/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6">
    <mergeCell ref="A1:F1"/>
    <mergeCell ref="A2:F2"/>
    <mergeCell ref="B4:G4"/>
    <mergeCell ref="B7:G7"/>
    <mergeCell ref="B12:G12"/>
    <mergeCell ref="B19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5" min="3" style="1" width="17"/>
    <col collapsed="false" customWidth="true" hidden="false" outlineLevel="0" max="6" min="6" style="1" width="40"/>
  </cols>
  <sheetData>
    <row r="1" customFormat="false" ht="24" hidden="false" customHeight="true" outlineLevel="0" collapsed="false">
      <c r="A1" s="31" t="s">
        <v>397</v>
      </c>
      <c r="B1" s="31"/>
      <c r="C1" s="31"/>
      <c r="D1" s="31"/>
      <c r="E1" s="31"/>
      <c r="F1" s="31"/>
    </row>
    <row r="2" customFormat="false" ht="24" hidden="false" customHeight="true" outlineLevel="0" collapsed="false">
      <c r="A2" s="32" t="s">
        <v>398</v>
      </c>
      <c r="B2" s="32"/>
      <c r="C2" s="32"/>
      <c r="D2" s="32"/>
      <c r="E2" s="32"/>
      <c r="F2" s="32"/>
    </row>
    <row r="3" customFormat="false" ht="15" hidden="false" customHeight="true" outlineLevel="0" collapsed="false">
      <c r="A3" s="3" t="s">
        <v>399</v>
      </c>
      <c r="B3" s="3"/>
      <c r="C3" s="3"/>
      <c r="D3" s="3"/>
      <c r="E3" s="3"/>
      <c r="F3" s="3"/>
    </row>
    <row r="4" customFormat="false" ht="15" hidden="false" customHeight="true" outlineLevel="0" collapsed="false">
      <c r="B4" s="16" t="s">
        <v>400</v>
      </c>
      <c r="C4" s="16" t="s">
        <v>365</v>
      </c>
      <c r="D4" s="16" t="s">
        <v>69</v>
      </c>
      <c r="E4" s="16"/>
      <c r="F4" s="16"/>
    </row>
    <row r="5" customFormat="false" ht="15" hidden="false" customHeight="true" outlineLevel="0" collapsed="false">
      <c r="B5" s="84" t="s">
        <v>401</v>
      </c>
      <c r="C5" s="85" t="n">
        <f aca="false">64710398</f>
        <v>64710398</v>
      </c>
      <c r="D5" s="86" t="s">
        <v>402</v>
      </c>
      <c r="E5" s="86"/>
      <c r="F5" s="86"/>
    </row>
    <row r="6" customFormat="false" ht="15" hidden="false" customHeight="true" outlineLevel="0" collapsed="false">
      <c r="B6" s="9" t="s">
        <v>403</v>
      </c>
      <c r="C6" s="54" t="n">
        <f aca="false">16257460</f>
        <v>16257460</v>
      </c>
      <c r="D6" s="86" t="s">
        <v>404</v>
      </c>
      <c r="E6" s="86"/>
      <c r="F6" s="86"/>
    </row>
    <row r="7" customFormat="false" ht="15" hidden="false" customHeight="true" outlineLevel="0" collapsed="false">
      <c r="B7" s="9" t="s">
        <v>405</v>
      </c>
      <c r="C7" s="54" t="n">
        <f aca="false">7700902</f>
        <v>7700902</v>
      </c>
      <c r="D7" s="86" t="s">
        <v>406</v>
      </c>
      <c r="E7" s="86"/>
      <c r="F7" s="86"/>
    </row>
    <row r="8" customFormat="false" ht="15" hidden="false" customHeight="true" outlineLevel="0" collapsed="false">
      <c r="B8" s="87" t="s">
        <v>407</v>
      </c>
      <c r="C8" s="88" t="n">
        <f aca="false">1309729</f>
        <v>1309729</v>
      </c>
      <c r="D8" s="86" t="s">
        <v>408</v>
      </c>
      <c r="E8" s="86"/>
      <c r="F8" s="86"/>
    </row>
    <row r="9" customFormat="false" ht="15" hidden="false" customHeight="true" outlineLevel="0" collapsed="false">
      <c r="B9" s="87" t="s">
        <v>409</v>
      </c>
      <c r="C9" s="88" t="n">
        <f aca="false">648489</f>
        <v>648489</v>
      </c>
      <c r="D9" s="86" t="s">
        <v>410</v>
      </c>
      <c r="E9" s="86"/>
      <c r="F9" s="86"/>
    </row>
    <row r="11" customFormat="false" ht="15" hidden="false" customHeight="true" outlineLevel="0" collapsed="false">
      <c r="A11" s="3" t="s">
        <v>411</v>
      </c>
      <c r="B11" s="3"/>
      <c r="C11" s="3"/>
      <c r="D11" s="3"/>
      <c r="E11" s="3"/>
      <c r="F11" s="3"/>
    </row>
    <row r="12" customFormat="false" ht="21.75" hidden="false" customHeight="true" outlineLevel="0" collapsed="false">
      <c r="B12" s="18" t="s">
        <v>412</v>
      </c>
      <c r="C12" s="18" t="s">
        <v>413</v>
      </c>
      <c r="D12" s="18" t="s">
        <v>414</v>
      </c>
      <c r="E12" s="18" t="s">
        <v>415</v>
      </c>
      <c r="F12" s="18" t="s">
        <v>416</v>
      </c>
    </row>
    <row r="13" customFormat="false" ht="15" hidden="false" customHeight="true" outlineLevel="0" collapsed="false">
      <c r="B13" s="9" t="s">
        <v>417</v>
      </c>
      <c r="C13" s="44" t="n">
        <v>64710398</v>
      </c>
      <c r="D13" s="44" t="n">
        <v>0</v>
      </c>
      <c r="E13" s="44" t="n">
        <v>0</v>
      </c>
      <c r="F13" s="40" t="s">
        <v>418</v>
      </c>
    </row>
    <row r="14" customFormat="false" ht="15" hidden="false" customHeight="true" outlineLevel="0" collapsed="false">
      <c r="B14" s="9" t="s">
        <v>419</v>
      </c>
      <c r="C14" s="44" t="n">
        <v>-60000000</v>
      </c>
      <c r="D14" s="44" t="n">
        <v>0</v>
      </c>
      <c r="E14" s="44" t="n">
        <v>0</v>
      </c>
      <c r="F14" s="40" t="s">
        <v>420</v>
      </c>
    </row>
    <row r="15" customFormat="false" ht="15" hidden="false" customHeight="true" outlineLevel="0" collapsed="false">
      <c r="B15" s="8" t="s">
        <v>421</v>
      </c>
      <c r="C15" s="54" t="n">
        <f aca="false">C13+C14</f>
        <v>4710398</v>
      </c>
      <c r="D15" s="54" t="n">
        <f aca="false">D13+D14</f>
        <v>0</v>
      </c>
      <c r="E15" s="54" t="n">
        <f aca="false">E13+E14</f>
        <v>0</v>
      </c>
      <c r="F15" s="40" t="s">
        <v>422</v>
      </c>
    </row>
    <row r="16" customFormat="false" ht="15" hidden="false" customHeight="true" outlineLevel="0" collapsed="false">
      <c r="B16" s="8" t="s">
        <v>423</v>
      </c>
      <c r="C16" s="28" t="s">
        <v>424</v>
      </c>
      <c r="D16" s="89" t="s">
        <v>425</v>
      </c>
      <c r="E16" s="90" t="s">
        <v>426</v>
      </c>
      <c r="F16" s="40" t="s">
        <v>427</v>
      </c>
    </row>
    <row r="18" customFormat="false" ht="15" hidden="false" customHeight="true" outlineLevel="0" collapsed="false">
      <c r="B18" s="91" t="s">
        <v>428</v>
      </c>
      <c r="C18" s="91"/>
      <c r="D18" s="91"/>
      <c r="E18" s="91"/>
      <c r="F18" s="91"/>
    </row>
    <row r="19" customFormat="false" ht="15" hidden="false" customHeight="true" outlineLevel="0" collapsed="false">
      <c r="B19" s="91"/>
      <c r="C19" s="91"/>
      <c r="D19" s="91"/>
      <c r="E19" s="91"/>
      <c r="F19" s="91"/>
    </row>
    <row r="20" customFormat="false" ht="15" hidden="false" customHeight="true" outlineLevel="0" collapsed="false">
      <c r="B20" s="91"/>
      <c r="C20" s="91"/>
      <c r="D20" s="91"/>
      <c r="E20" s="91"/>
      <c r="F20" s="91"/>
    </row>
    <row r="21" customFormat="false" ht="15" hidden="false" customHeight="true" outlineLevel="0" collapsed="false">
      <c r="B21" s="91"/>
      <c r="C21" s="91"/>
      <c r="D21" s="91"/>
      <c r="E21" s="91"/>
      <c r="F21" s="91"/>
    </row>
  </sheetData>
  <mergeCells count="11">
    <mergeCell ref="A1:F1"/>
    <mergeCell ref="A2:F2"/>
    <mergeCell ref="A3:F3"/>
    <mergeCell ref="D4:F4"/>
    <mergeCell ref="D5:F5"/>
    <mergeCell ref="D6:F6"/>
    <mergeCell ref="D7:F7"/>
    <mergeCell ref="D8:F8"/>
    <mergeCell ref="D9:F9"/>
    <mergeCell ref="A11:F11"/>
    <mergeCell ref="B18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6"/>
    <col collapsed="false" customWidth="true" hidden="false" outlineLevel="0" max="5" min="5" style="1" width="58"/>
  </cols>
  <sheetData>
    <row r="1" customFormat="false" ht="24" hidden="false" customHeight="true" outlineLevel="0" collapsed="false">
      <c r="A1" s="31" t="s">
        <v>429</v>
      </c>
      <c r="B1" s="31"/>
      <c r="C1" s="31"/>
      <c r="D1" s="31"/>
      <c r="E1" s="31"/>
    </row>
    <row r="2" customFormat="false" ht="24" hidden="false" customHeight="true" outlineLevel="0" collapsed="false">
      <c r="A2" s="32" t="s">
        <v>430</v>
      </c>
      <c r="B2" s="32"/>
      <c r="C2" s="32"/>
      <c r="D2" s="32"/>
      <c r="E2" s="32"/>
    </row>
    <row r="3" customFormat="false" ht="15" hidden="false" customHeight="true" outlineLevel="0" collapsed="false">
      <c r="A3" s="3" t="s">
        <v>431</v>
      </c>
      <c r="B3" s="3"/>
      <c r="C3" s="3"/>
      <c r="D3" s="3"/>
      <c r="E3" s="3"/>
    </row>
    <row r="4" customFormat="false" ht="15" hidden="false" customHeight="true" outlineLevel="0" collapsed="false">
      <c r="B4" s="9" t="s">
        <v>432</v>
      </c>
      <c r="C4" s="64" t="n">
        <v>107076237</v>
      </c>
      <c r="D4" s="86" t="s">
        <v>433</v>
      </c>
      <c r="E4" s="86"/>
    </row>
    <row r="5" customFormat="false" ht="15" hidden="false" customHeight="true" outlineLevel="0" collapsed="false">
      <c r="B5" s="9" t="s">
        <v>434</v>
      </c>
      <c r="C5" s="44" t="n">
        <f aca="false">107076237*0.2</f>
        <v>21415247.4</v>
      </c>
      <c r="D5" s="86" t="s">
        <v>435</v>
      </c>
      <c r="E5" s="86"/>
    </row>
    <row r="6" customFormat="false" ht="15" hidden="false" customHeight="true" outlineLevel="0" collapsed="false">
      <c r="B6" s="9" t="s">
        <v>436</v>
      </c>
      <c r="C6" s="44" t="n">
        <f aca="false">107076237*0.22</f>
        <v>23556772.14</v>
      </c>
      <c r="D6" s="86" t="s">
        <v>437</v>
      </c>
      <c r="E6" s="86"/>
    </row>
    <row r="7" customFormat="false" ht="15" hidden="false" customHeight="true" outlineLevel="0" collapsed="false">
      <c r="B7" s="9" t="s">
        <v>438</v>
      </c>
      <c r="C7" s="44" t="n">
        <f aca="false">107076237*0.02</f>
        <v>2141524.74</v>
      </c>
      <c r="D7" s="86" t="s">
        <v>439</v>
      </c>
      <c r="E7" s="86"/>
    </row>
    <row r="8" customFormat="false" ht="27.75" hidden="false" customHeight="true" outlineLevel="0" collapsed="false">
      <c r="B8" s="92" t="s">
        <v>440</v>
      </c>
      <c r="C8" s="92"/>
      <c r="D8" s="92"/>
      <c r="E8" s="92"/>
    </row>
    <row r="10" customFormat="false" ht="15" hidden="false" customHeight="true" outlineLevel="0" collapsed="false">
      <c r="A10" s="3" t="s">
        <v>441</v>
      </c>
      <c r="B10" s="3"/>
      <c r="C10" s="3"/>
      <c r="D10" s="3"/>
      <c r="E10" s="3"/>
    </row>
    <row r="11" customFormat="false" ht="21.75" hidden="false" customHeight="true" outlineLevel="0" collapsed="false">
      <c r="B11" s="9" t="s">
        <v>442</v>
      </c>
      <c r="C11" s="64" t="n">
        <v>890670</v>
      </c>
      <c r="D11" s="86" t="s">
        <v>443</v>
      </c>
      <c r="E11" s="86"/>
    </row>
    <row r="13" customFormat="false" ht="15" hidden="false" customHeight="true" outlineLevel="0" collapsed="false">
      <c r="A13" s="3" t="s">
        <v>444</v>
      </c>
      <c r="B13" s="3"/>
      <c r="C13" s="3"/>
      <c r="D13" s="3"/>
      <c r="E13" s="3"/>
    </row>
    <row r="14" customFormat="false" ht="27.75" hidden="false" customHeight="true" outlineLevel="0" collapsed="false">
      <c r="B14" s="9" t="s">
        <v>445</v>
      </c>
      <c r="C14" s="64" t="n">
        <v>100630000</v>
      </c>
      <c r="D14" s="93" t="s">
        <v>446</v>
      </c>
      <c r="E14" s="93"/>
    </row>
    <row r="16" customFormat="false" ht="15" hidden="false" customHeight="true" outlineLevel="0" collapsed="false">
      <c r="A16" s="3" t="s">
        <v>447</v>
      </c>
      <c r="B16" s="3"/>
      <c r="C16" s="3"/>
      <c r="D16" s="3"/>
      <c r="E16" s="3"/>
    </row>
    <row r="17" customFormat="false" ht="15" hidden="false" customHeight="true" outlineLevel="0" collapsed="false">
      <c r="B17" s="9" t="s">
        <v>448</v>
      </c>
      <c r="C17" s="64" t="n">
        <v>128491484</v>
      </c>
      <c r="D17" s="86" t="s">
        <v>449</v>
      </c>
      <c r="E17" s="86"/>
    </row>
    <row r="18" customFormat="false" ht="15" hidden="false" customHeight="true" outlineLevel="0" collapsed="false">
      <c r="B18" s="9" t="s">
        <v>450</v>
      </c>
      <c r="C18" s="44" t="n">
        <f aca="false">128491484*0.05</f>
        <v>6424574.2</v>
      </c>
      <c r="D18" s="86" t="s">
        <v>451</v>
      </c>
      <c r="E18" s="86"/>
    </row>
    <row r="19" customFormat="false" ht="15" hidden="false" customHeight="true" outlineLevel="0" collapsed="false">
      <c r="B19" s="9" t="s">
        <v>452</v>
      </c>
      <c r="C19" s="44" t="n">
        <f aca="false">128491484*0.05*0.015*1.5/0.05</f>
        <v>2891058.39</v>
      </c>
      <c r="D19" s="86" t="s">
        <v>453</v>
      </c>
      <c r="E19" s="86"/>
    </row>
    <row r="20" customFormat="false" ht="21.75" hidden="false" customHeight="true" outlineLevel="0" collapsed="false">
      <c r="B20" s="9" t="s">
        <v>454</v>
      </c>
      <c r="C20" s="44" t="n">
        <f aca="false">128491484*0.05-128491484*0.05*0.015*1.5</f>
        <v>6280021.2805</v>
      </c>
      <c r="D20" s="86" t="s">
        <v>455</v>
      </c>
      <c r="E20" s="86"/>
    </row>
    <row r="21" customFormat="false" ht="24" hidden="false" customHeight="true" outlineLevel="0" collapsed="false">
      <c r="B21" s="92" t="s">
        <v>456</v>
      </c>
      <c r="C21" s="92"/>
      <c r="D21" s="92"/>
      <c r="E21" s="92"/>
    </row>
    <row r="23" customFormat="false" ht="15" hidden="false" customHeight="true" outlineLevel="0" collapsed="false">
      <c r="A23" s="3" t="s">
        <v>457</v>
      </c>
      <c r="B23" s="3"/>
      <c r="C23" s="3"/>
      <c r="D23" s="3"/>
      <c r="E23" s="3"/>
    </row>
    <row r="24" customFormat="false" ht="15" hidden="false" customHeight="true" outlineLevel="0" collapsed="false">
      <c r="B24" s="91" t="s">
        <v>458</v>
      </c>
      <c r="C24" s="91"/>
      <c r="D24" s="91"/>
      <c r="E24" s="91"/>
    </row>
    <row r="25" customFormat="false" ht="15" hidden="false" customHeight="true" outlineLevel="0" collapsed="false">
      <c r="B25" s="91"/>
      <c r="C25" s="91"/>
      <c r="D25" s="91"/>
      <c r="E25" s="91"/>
    </row>
    <row r="26" customFormat="false" ht="15" hidden="false" customHeight="true" outlineLevel="0" collapsed="false">
      <c r="B26" s="91"/>
      <c r="C26" s="91"/>
      <c r="D26" s="91"/>
      <c r="E26" s="91"/>
    </row>
    <row r="27" customFormat="false" ht="15" hidden="false" customHeight="true" outlineLevel="0" collapsed="false">
      <c r="B27" s="91"/>
      <c r="C27" s="91"/>
      <c r="D27" s="91"/>
      <c r="E27" s="91"/>
    </row>
  </sheetData>
  <mergeCells count="20">
    <mergeCell ref="A1:E1"/>
    <mergeCell ref="A2:E2"/>
    <mergeCell ref="A3:E3"/>
    <mergeCell ref="D4:E4"/>
    <mergeCell ref="D5:E5"/>
    <mergeCell ref="D6:E6"/>
    <mergeCell ref="D7:E7"/>
    <mergeCell ref="B8:E8"/>
    <mergeCell ref="A10:E10"/>
    <mergeCell ref="D11:E11"/>
    <mergeCell ref="A13:E13"/>
    <mergeCell ref="D14:E14"/>
    <mergeCell ref="A16:E16"/>
    <mergeCell ref="D17:E17"/>
    <mergeCell ref="D18:E18"/>
    <mergeCell ref="D19:E19"/>
    <mergeCell ref="D20:E20"/>
    <mergeCell ref="B21:E21"/>
    <mergeCell ref="A23:E23"/>
    <mergeCell ref="B24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72"/>
  </cols>
  <sheetData>
    <row r="1" customFormat="false" ht="24" hidden="false" customHeight="true" outlineLevel="0" collapsed="false">
      <c r="A1" s="31" t="s">
        <v>459</v>
      </c>
      <c r="B1" s="31"/>
      <c r="C1" s="31"/>
    </row>
    <row r="2" customFormat="false" ht="15" hidden="false" customHeight="true" outlineLevel="0" collapsed="false">
      <c r="A2" s="94" t="s">
        <v>460</v>
      </c>
      <c r="B2" s="94"/>
      <c r="C2" s="94"/>
    </row>
    <row r="3" customFormat="false" ht="15" hidden="false" customHeight="true" outlineLevel="0" collapsed="false">
      <c r="A3" s="91" t="s">
        <v>461</v>
      </c>
      <c r="B3" s="91"/>
      <c r="C3" s="91"/>
    </row>
    <row r="4" customFormat="false" ht="15" hidden="false" customHeight="true" outlineLevel="0" collapsed="false">
      <c r="A4" s="91"/>
      <c r="B4" s="91"/>
      <c r="C4" s="91"/>
    </row>
    <row r="5" customFormat="false" ht="15" hidden="false" customHeight="true" outlineLevel="0" collapsed="false">
      <c r="A5" s="91"/>
      <c r="B5" s="91"/>
      <c r="C5" s="91"/>
    </row>
    <row r="6" customFormat="false" ht="15" hidden="false" customHeight="true" outlineLevel="0" collapsed="false">
      <c r="A6" s="91"/>
      <c r="B6" s="91"/>
      <c r="C6" s="91"/>
    </row>
    <row r="8" customFormat="false" ht="15" hidden="false" customHeight="true" outlineLevel="0" collapsed="false">
      <c r="A8" s="3" t="s">
        <v>462</v>
      </c>
      <c r="B8" s="3"/>
      <c r="C8" s="3"/>
    </row>
    <row r="9" customFormat="false" ht="15" hidden="false" customHeight="true" outlineLevel="0" collapsed="false">
      <c r="B9" s="16" t="s">
        <v>463</v>
      </c>
      <c r="C9" s="16" t="s">
        <v>464</v>
      </c>
    </row>
    <row r="10" customFormat="false" ht="54" hidden="false" customHeight="true" outlineLevel="0" collapsed="false">
      <c r="B10" s="29" t="s">
        <v>465</v>
      </c>
      <c r="C10" s="53" t="s">
        <v>466</v>
      </c>
    </row>
    <row r="11" customFormat="false" ht="54" hidden="false" customHeight="true" outlineLevel="0" collapsed="false">
      <c r="B11" s="29" t="s">
        <v>467</v>
      </c>
      <c r="C11" s="53" t="s">
        <v>468</v>
      </c>
    </row>
    <row r="12" customFormat="false" ht="54" hidden="false" customHeight="true" outlineLevel="0" collapsed="false">
      <c r="B12" s="29" t="s">
        <v>469</v>
      </c>
      <c r="C12" s="53" t="s">
        <v>470</v>
      </c>
    </row>
    <row r="13" customFormat="false" ht="54" hidden="false" customHeight="true" outlineLevel="0" collapsed="false">
      <c r="B13" s="29" t="s">
        <v>471</v>
      </c>
      <c r="C13" s="53" t="s">
        <v>472</v>
      </c>
    </row>
    <row r="14" customFormat="false" ht="54" hidden="false" customHeight="true" outlineLevel="0" collapsed="false">
      <c r="B14" s="29" t="s">
        <v>473</v>
      </c>
      <c r="C14" s="53" t="s">
        <v>474</v>
      </c>
    </row>
    <row r="15" customFormat="false" ht="54" hidden="false" customHeight="true" outlineLevel="0" collapsed="false">
      <c r="B15" s="29" t="s">
        <v>475</v>
      </c>
      <c r="C15" s="53" t="s">
        <v>476</v>
      </c>
    </row>
    <row r="16" customFormat="false" ht="54" hidden="false" customHeight="true" outlineLevel="0" collapsed="false">
      <c r="B16" s="29" t="s">
        <v>477</v>
      </c>
      <c r="C16" s="53" t="s">
        <v>478</v>
      </c>
    </row>
    <row r="18" customFormat="false" ht="21.75" hidden="false" customHeight="true" outlineLevel="0" collapsed="false">
      <c r="A18" s="95" t="s">
        <v>479</v>
      </c>
      <c r="B18" s="95"/>
      <c r="C18" s="95"/>
    </row>
  </sheetData>
  <mergeCells count="5">
    <mergeCell ref="A1:C1"/>
    <mergeCell ref="A2:C2"/>
    <mergeCell ref="A3:C6"/>
    <mergeCell ref="A8:C8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2026-08-03T18:24:07Z</dcterms:created>
  <dc:creator>openpyxl</dc:creator>
  <dc:description/>
  <dc:language>en-US</dc:language>
  <cp:lastModifiedBy/>
  <dcterms:modified xsi:type="dcterms:W3CDTF">2026-08-03T18:37:52Z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