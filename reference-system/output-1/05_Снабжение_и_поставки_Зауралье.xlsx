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Резюме_Заключение" sheetId="1" state="visible" r:id="rId3"/>
    <sheet name="01_Паспорт_закупок" sheetId="2" state="visible" r:id="rId4"/>
    <sheet name="02_Реестр_ТМЦ" sheetId="3" state="visible" r:id="rId5"/>
    <sheet name="03_Карта_сроков_поставки" sheetId="4" state="visible" r:id="rId6"/>
    <sheet name="04_Поставщики_КП" sheetId="5" state="visible" r:id="rId7"/>
    <sheet name="05_Объём_поставки_оборуд" sheetId="6" state="visible" r:id="rId8"/>
    <sheet name="06_Влияние_на_маржу" sheetId="7" state="visible" r:id="rId9"/>
    <sheet name="07_Первоочередные_действия" sheetId="8" state="visible" r:id="rId10"/>
    <sheet name="08_Передачи_смежникам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<sst xmlns="http://schemas.openxmlformats.org/spreadsheetml/2006/main" count="664" uniqueCount="478">
  <si>
    <t xml:space="preserve">СТРОЙИНТЕЛЛЕКТ.ЗАКУП · ИИ-СНАБЖЕНЕЦ · ЗАКУПОЧНЫЙ АРТЕФАКТ ТМЦ</t>
  </si>
  <si>
    <t xml:space="preserve">ЖДПП «Зауралье» — оснащение СОТ + ЭОМ · ст. Зауралье, 76 км, пк 6+80 · Половинский р-н, Курганская обл. · SI-2026-KRG-ZAU-СОТ · Такт 3а · 03.08.2026</t>
  </si>
  <si>
    <t xml:space="preserve">ЗАКЛЮЧЕНИЕ ИИ-СНАБЖЕНЦА — ЗАКУПОЧНЫЙ ВЗГЛЯД</t>
  </si>
  <si>
    <t xml:space="preserve">🔴 ГЛАВНЫЙ ВОПРОС — ОБЪЁМ ПОСТАВКИ ОБОРУДОВАНИЯ СОТ (флаг 3 ИИ-руководителя проекта / находка 4 ИИ-ГИП)</t>
  </si>
  <si>
    <t xml:space="preserve">«Железо» СОТ (202 камеры, 2×СХД 384 Тб, 8×РЛС Orwell-R, 8×НЕО, 36 коммутаторов, ИБП) в смете НЕ заведено как поставка — только монтаж (труд). Ориентир рынка на это железо — 16–45 млн ₽ (десятки млн). МОЙ ЗАКЛЮЧЕНИЕ: почти наверняка ДАВАЛЬЧЕСКОЕ / поставка заказчика (контур ФСБ-погранпункта). Три довода: (1) в смете строка «оборудование» = 2,22 млн, а не десятки млн; (2) РЛС/СХД/криптомодули — режимное спецоборудование охраны госграницы, поставка через режимного поставщика/заказчика; (3) для нашей поставки строка была бы на порядок больше. СТАТУС: ⚠ ПРЕДПОЛОЖЕНИЕ — требует письменного подтверждения. ▶ Действие: ИИ-договорнику — зафиксировать объём в договоре ДО подачи/подписания. Красная линия: без ответа по объёму себестоимость недостоверна (согласен с ИИ-ГИП и ИИ-сметчиком).</t>
  </si>
  <si>
    <t xml:space="preserve">🔴 КРИТИЧНО — МЕТАЛЛ ОПОР (~6 млн ₽) НЕ БЬЁТСЯ С МАТЕРИАЛЬНОЙ БАЗОЙ СМЕТЫ (1,86 млн)</t>
  </si>
  <si>
    <t xml:space="preserve">133 опоры (127 шт ≤0,6 т + 6 шт 0,6–1 т) при рынке 35–85 тыс/шт = ~6,0 млн ₽ только по металлу опор — это в 3 раза больше всей строки «материалы» сметы (1,86 млн). Значит опоры либо (а) «зашиты» в СМР как конструкции с установкой, либо (б) давальческие, либо (в) недоучтены. ▶ Действие: ИИ-сметчику — где физически сидит стоимость металла опор (СМР или материалы)? Мне — КП по ведомости опор (масса/марка/типоразмер). До ответа считаю опоры как ОБЪЁМ ПОД ВОПРОСОМ.</t>
  </si>
  <si>
    <t xml:space="preserve">🟡 ПОД КОНТРОЛЕМ — СИП-4 4×25 (эталон честного счёта)</t>
  </si>
  <si>
    <t xml:space="preserve">4 960 м, ГОСТ 31946-2012. Смета = кабельный журнал РД, Δ0,1% (подтвердил ИИ-ГИП). Рынок 110–140 ₽/м опт → ~0,55–0,69 млн + логистика. Живые прайсы: Кабель.РФ от 91 ₽, Энергосфера 132 ₽, Электролайт 208 ₽ (розница). ▶ 3 КП с логистикой до ст. Зауралье — до 07.08.2026.</t>
  </si>
  <si>
    <t xml:space="preserve">🟡 ПОД КОНТРОЛЕМ — ViPNet (единственное «железо» в НАШЕЙ смете)</t>
  </si>
  <si>
    <t xml:space="preserve">Криптошлюзы ViPNet Coordinator HW — смета 1,386,845 ₽. Поставка ТОЛЬКО через лицензированного партнёра ИнфоТеКС (ФСБ-СКЗИ), срок поставки 6–10 нед. Ключевая информация/настройка часто на стороне заказчика — уточнить у ИИ-договорника, входит ли инициализация в наш объём.</t>
  </si>
  <si>
    <t xml:space="preserve">🟢 ПОТЕНЦИАЛ — РЕГИОНАЛЬНОЕ ПЛЕЧО УРАЛ</t>
  </si>
  <si>
    <t xml:space="preserve">Опоры (ОГК) и ЖБИ — заводы Екатеринбурга (Точка опоры, УЗМО, региональные ЖБИ) в ~350 км от объекта → короткая логистика 6–8% против 10–12% из Москвы (плечо ~2000 км). Экономия на логистике по тяжёлым ТМЦ (опоры, плиты) — существенная.</t>
  </si>
  <si>
    <t xml:space="preserve">КОНТРОЛЬНЫЕ ЦИФРЫ ЗАКУПОК (ориентиры по живым прайсам поставщиков, 03.08.2026)</t>
  </si>
  <si>
    <t xml:space="preserve">Показатель</t>
  </si>
  <si>
    <t xml:space="preserve">Значение / ссылка</t>
  </si>
  <si>
    <t xml:space="preserve">Комментарий</t>
  </si>
  <si>
    <t xml:space="preserve">Сметная база «материалы» (все ЛСР)</t>
  </si>
  <si>
    <t xml:space="preserve">аномально мало — флаг 4 ИИ-руководителя проекта</t>
  </si>
  <si>
    <t xml:space="preserve">Сметная база «оборудование» (СОТ, в т.ч. ViPNet 1,39 млн)</t>
  </si>
  <si>
    <t xml:space="preserve">в смете как поставка</t>
  </si>
  <si>
    <t xml:space="preserve">ТМЦ «наша поставка» по рынку (мин–макс)</t>
  </si>
  <si>
    <t xml:space="preserve">лист 02, без опор под вопросом</t>
  </si>
  <si>
    <t xml:space="preserve">Металл опор — объём под вопросом (мин–макс)</t>
  </si>
  <si>
    <t xml:space="preserve">лист 02, раздел B</t>
  </si>
  <si>
    <t xml:space="preserve">«Железо» СОТ — ориентир давальческого (мин–макс)</t>
  </si>
  <si>
    <t xml:space="preserve">лист 05, вне нашей поставки</t>
  </si>
  <si>
    <t xml:space="preserve">ПРИРОДА ЦИФР (стандарт v8: цифра без источника и даты = не данные). Цены в артефакте — ЖИВЫЕ РЫНОЧНЫЕ ПРАЙСЫ поставщиков, проверенные веб-поиском 03.08.2026 (см. лист 04 «Поставщики_КП» — компания, регион, ГОСТ, ссылка). Это ориентир ±10–15% для отбор, а НЕ подписанное КП. Формальные 3+ КП с зафиксированной логистикой до ст. Зауралье и фиксация цены цены — 72-часовой план на листе 07. «КП на бумаге ≠ КП в жизни»: финальные суммы уточнятся после ответа поставщиков на спецификацию.</t>
  </si>
  <si>
    <t xml:space="preserve">ПАСПОРТ ЗАКУПОК ОБЪЕКТА</t>
  </si>
  <si>
    <t xml:space="preserve">Раздел ИИ-снабженца · держатель мастер-паспорта — ИИ-администратор · вход: паспорт ИИ-руководителя проекта, ЧТЗ ИИ-ГИП, смета ИИ-сметчика</t>
  </si>
  <si>
    <t xml:space="preserve">ID объекта (внутр.)</t>
  </si>
  <si>
    <t xml:space="preserve">SI-2026-KRG-ZAU-СОТ (присвоен ИИ-руководителем проекта)</t>
  </si>
  <si>
    <t xml:space="preserve">Объект</t>
  </si>
  <si>
    <t xml:space="preserve">Оснащение системой видеонаблюдения ЖДПП «Зауралье» (СОТ) + система электроснабжения (ЭОМ). Актуализация ПСД, стадия «П».</t>
  </si>
  <si>
    <t xml:space="preserve">Адрес</t>
  </si>
  <si>
    <t xml:space="preserve">РФ, Курганская обл., Половинский р-н, ст. Зауралье, 76 км, пк 6+80 — пограничный ж/д пункт пропуска (действующая станция РЖД)</t>
  </si>
  <si>
    <t xml:space="preserve">Заказчик / ЛПР</t>
  </si>
  <si>
    <t xml:space="preserve">НЕ идентифицирован в документах ⚠. Конечный интересант — ПУ ФСБ России по Курганской и Тюменской обл. Установить ЛПР/источник финансирования — ИИ-договорник+ИИ-администратор.</t>
  </si>
  <si>
    <t xml:space="preserve">Проектировщик</t>
  </si>
  <si>
    <t xml:space="preserve">АО «Институт «Оргэнергострой» (Москва). Проект 1102/23-Зауралье (СОТ+ЭОМ).</t>
  </si>
  <si>
    <t xml:space="preserve">Тип объекта</t>
  </si>
  <si>
    <t xml:space="preserve">Слаботочка (СОТ/СКС/ВОЛС/РЛС) + электроснабжение 0,4 кВ на действующей инфраструктуре РЖД. Категорированные помещения (ФЗ 5485-1, спецпроверки ФСБ).</t>
  </si>
  <si>
    <t xml:space="preserve">Роль команды</t>
  </si>
  <si>
    <t xml:space="preserve">Генподряд / подряд на СМР + монтаж. Объём поставки оборудования — УТОЧНИТЬ (ключевой вопрос, см. лист 05).</t>
  </si>
  <si>
    <t xml:space="preserve">Стадия закупок</t>
  </si>
  <si>
    <t xml:space="preserve">Предстартовая проработка (Такт 3а). Формирование закупочного фона + первые живые цены.</t>
  </si>
  <si>
    <t xml:space="preserve">Сметная стоимость (ССРСС)</t>
  </si>
  <si>
    <t xml:space="preserve">128 491 484 ₽ с НДС 20% (II кв. 2025) / 107 076 237 ₽ без НДС. НДС в смете 20% ⚠ должно быть 22% с 01.01.2026 (ФЗ 425-ФЗ) — недобор ~2,0 млн.</t>
  </si>
  <si>
    <t xml:space="preserve">Строит. работы (СМР)</t>
  </si>
  <si>
    <t xml:space="preserve">20 957 тыс. ₽ — почти весь ЭОМ (опоры, земля, окраска). ⚠ здесь может «сидеть» металл опор как конструкции.</t>
  </si>
  <si>
    <t xml:space="preserve">Монтажные работы</t>
  </si>
  <si>
    <t xml:space="preserve">79 662 тыс. ₽ — ядро стоимости; ~⅔ = блок «вынос/возврат КС» 200 км (ИИ-ГИП: 🔴 ВОЗВРАЩЁН, воздух; это РАБОТЫ, не мои ТМЦ).</t>
  </si>
  <si>
    <t xml:space="preserve">Оборудование (смета)</t>
  </si>
  <si>
    <t xml:space="preserve">2 222 тыс. ₽ (только СОТ, в т.ч. криптошлюзы ViPNet 1 387 тыс.). ⚠ «Железо» СОТ на десятки млн — не заведено (см. лист 05).</t>
  </si>
  <si>
    <t xml:space="preserve">Материалы (смета)</t>
  </si>
  <si>
    <t xml:space="preserve">1 862 тыс. ₽ — аномально мало для объекта (флаг 4). Полный рыночный расчёт ТМЦ — лист 02.</t>
  </si>
  <si>
    <t xml:space="preserve">Потолки цен</t>
  </si>
  <si>
    <t xml:space="preserve">Ожидаю от ИИ-экономиста после пересчёта ИИ-сметчика (реиндекс 2025→2026). Временный ориентир — рыночные прайсы 03.08.2026 ±10%.</t>
  </si>
  <si>
    <t xml:space="preserve">Лимит самостоят. решения</t>
  </si>
  <si>
    <t xml:space="preserve">Устанавливает ИИ-руководитель проекта — запрошен. До получения: любая позиция &gt; 1 млн — через отбор к ИИ-руководителю проекта.</t>
  </si>
  <si>
    <t xml:space="preserve">Логистика</t>
  </si>
  <si>
    <t xml:space="preserve">DDP до приобъектного склада (ст. Зауралье). Плечо от Москвы ~2000 км (+10–12%); от Екатеринбурга ~350 км (+6–8%) — приоритет уральским заводам по тяжёлым ТМЦ.</t>
  </si>
  <si>
    <t xml:space="preserve">Сертификация</t>
  </si>
  <si>
    <t xml:space="preserve">По каждой позиции — ГОСТ/ТУ в момент выбора поставщика. СКЗИ ViPNet — сертификат ФСБ обязателен.</t>
  </si>
  <si>
    <t xml:space="preserve">Ключевой риск закупок</t>
  </si>
  <si>
    <t xml:space="preserve">Объём оборудования СОТ не определён (десятки млн) + металл опор не бьётся с материальной базой сметы.</t>
  </si>
  <si>
    <t xml:space="preserve">РЕЕСТР ТМЦ — ПО ПОЗИЦИЯМ · РЫНОК vs СМЕТА</t>
  </si>
  <si>
    <t xml:space="preserve">Объёмы: смета ИИ-сметчика + спецификация ПД (ИИ-ГИП). Цены: живые прайсы поставщиков 03.08.2026 (лист 04). Логистика — ОТДЕЛЬНОЙ строкой в ₽. Итого до объекта = ТМЦ франко-склад + логистика.</t>
  </si>
  <si>
    <t xml:space="preserve">№</t>
  </si>
  <si>
    <t xml:space="preserve">Раздел</t>
  </si>
  <si>
    <t xml:space="preserve">Позиция ТМЦ</t>
  </si>
  <si>
    <t xml:space="preserve">ГОСТ / ТУ</t>
  </si>
  <si>
    <t xml:space="preserve">Ед.</t>
  </si>
  <si>
    <t xml:space="preserve">Объём</t>
  </si>
  <si>
    <t xml:space="preserve">Цена мин ₽/ед</t>
  </si>
  <si>
    <t xml:space="preserve">Цена макс ₽/ед</t>
  </si>
  <si>
    <t xml:space="preserve">Лог.%</t>
  </si>
  <si>
    <t xml:space="preserve">ТМЦ франко-склад мин ₽</t>
  </si>
  <si>
    <t xml:space="preserve">ТМЦ франко-склад макс ₽</t>
  </si>
  <si>
    <t xml:space="preserve">Логистика мин ₽</t>
  </si>
  <si>
    <t xml:space="preserve">Логистика макс ₽</t>
  </si>
  <si>
    <t xml:space="preserve">ИТОГО до объекта мин ₽</t>
  </si>
  <si>
    <t xml:space="preserve">ИТОГО до объекта макс ₽</t>
  </si>
  <si>
    <t xml:space="preserve">Объём</t>
  </si>
  <si>
    <t xml:space="preserve">Срок поставки</t>
  </si>
  <si>
    <t xml:space="preserve">Ст.</t>
  </si>
  <si>
    <t xml:space="preserve">Примечание</t>
  </si>
  <si>
    <t xml:space="preserve">A. ЭОМ — кабель/провод</t>
  </si>
  <si>
    <t xml:space="preserve">СИП-4 4×25 самонесущий изолированный</t>
  </si>
  <si>
    <t xml:space="preserve">ГОСТ 31946-2012</t>
  </si>
  <si>
    <t xml:space="preserve">м</t>
  </si>
  <si>
    <t xml:space="preserve">НАША</t>
  </si>
  <si>
    <t xml:space="preserve">2–4 нед</t>
  </si>
  <si>
    <t xml:space="preserve">🟢</t>
  </si>
  <si>
    <t xml:space="preserve">Эталон РД: смета=кабельный журнал, Δ0,1% (ИИ-ГИП). Кабель.РФ/Энергосфера/Людиновокабель.</t>
  </si>
  <si>
    <t xml:space="preserve">ВОК подвесной самонесущий 8 вол., G.652.D (ОКТ/ОКГ)</t>
  </si>
  <si>
    <t xml:space="preserve">ГОСТ Р МЭК 60794; G.652.D</t>
  </si>
  <si>
    <t xml:space="preserve">🟡</t>
  </si>
  <si>
    <t xml:space="preserve">⚠ Объём по кабельному журналу РД — уточнить у ИИ-ГИП/ИИ-ПТО. Сарансккабель/НАГ/Ленсервис.</t>
  </si>
  <si>
    <t xml:space="preserve">Труба ПНД ПЭ100 SDR11 D50 (защита кабеля / прокол ГНБ)</t>
  </si>
  <si>
    <t xml:space="preserve">ГОСТ 18599-2001</t>
  </si>
  <si>
    <t xml:space="preserve">1–2 нед</t>
  </si>
  <si>
    <t xml:space="preserve">⚠ Объём уточнить (проколы 3 м + защита выходов). РТП/ПРОМБАЗА/СК Континент.</t>
  </si>
  <si>
    <t xml:space="preserve">Кабель ВВГнг(A)-LS (проводка блок-контейнера)</t>
  </si>
  <si>
    <t xml:space="preserve">ГОСТ 31996-2012</t>
  </si>
  <si>
    <t xml:space="preserve">компл</t>
  </si>
  <si>
    <t xml:space="preserve">По спецификации ЭОМ (внутр. проводка аппаратной). ИИ-ГИП: ВВГнг(A)-LS обоснован.</t>
  </si>
  <si>
    <t xml:space="preserve">A. ЭОМ — прочее</t>
  </si>
  <si>
    <t xml:space="preserve">Прокат листовой Ст3</t>
  </si>
  <si>
    <t xml:space="preserve">ГОСТ 14637-89</t>
  </si>
  <si>
    <t xml:space="preserve">т</t>
  </si>
  <si>
    <t xml:space="preserve">Смета 62 596 ₽/т — в рынке (ИИ-сметчик). Металлобаза Урал.</t>
  </si>
  <si>
    <t xml:space="preserve">B. Металлоконструкции ОПОРЫ</t>
  </si>
  <si>
    <t xml:space="preserve">Опора металлическая (ОГК/трубчатая) ≤0,6 т</t>
  </si>
  <si>
    <t xml:space="preserve">ГОСТ 32947-2014 / ГОСТ 23118</t>
  </si>
  <si>
    <t xml:space="preserve">шт</t>
  </si>
  <si>
    <t xml:space="preserve">УТОЧНИТЬ</t>
  </si>
  <si>
    <t xml:space="preserve">4–6 нед</t>
  </si>
  <si>
    <t xml:space="preserve">🔴</t>
  </si>
  <si>
    <t xml:space="preserve">🔴 Типоразмер/масса — КП по ведомости опор РД. Заводы Екб: Точка опоры, УЗМО, Амира. Объём: наша/давальч.?</t>
  </si>
  <si>
    <t xml:space="preserve">Опора металлическая усиленная 0,6–1 т</t>
  </si>
  <si>
    <t xml:space="preserve">ГОСТ 32947-2014</t>
  </si>
  <si>
    <t xml:space="preserve">🔴 Под ригели/нагруженные узлы. КП по массе. Тот же объём-вопрос.</t>
  </si>
  <si>
    <t xml:space="preserve">Анкер ж/б / фундаментный блок под опору</t>
  </si>
  <si>
    <t xml:space="preserve">сер. 3.407.1 / ГОСТ 13015</t>
  </si>
  <si>
    <t xml:space="preserve">3–5 нед</t>
  </si>
  <si>
    <t xml:space="preserve">1 анкер на опору (ИИ-ГИП: корректно). Региональный ЖБИ.</t>
  </si>
  <si>
    <t xml:space="preserve">Ригель / жёсткая поперечина П-перехода</t>
  </si>
  <si>
    <t xml:space="preserve">ГОСТ 23118-2019</t>
  </si>
  <si>
    <t xml:space="preserve">6–8 нед</t>
  </si>
  <si>
    <t xml:space="preserve">Единственное ОБОСНОВАННОЕ место работ у КС (ИИ-ГИП). Заказ по чертежу П-перехода.</t>
  </si>
  <si>
    <t xml:space="preserve">C. ЖБИ / общестрой</t>
  </si>
  <si>
    <t xml:space="preserve">Плита дорожная ПДН 6×2 (под блок-контейнер)</t>
  </si>
  <si>
    <t xml:space="preserve">ГОСТ 21924.0-84 / сер.3.503.1-91</t>
  </si>
  <si>
    <t xml:space="preserve">2–3 нед</t>
  </si>
  <si>
    <t xml:space="preserve">5,04 м³ ≈ 3 плиты 6000×2000×140. Завод Екб (ПДН 2-6). АРТ ЖБИ 25,8 тыс; ЖБИ-6 17,8 тыс.</t>
  </si>
  <si>
    <t xml:space="preserve">Блок-контейнер утепл. северного исп. (техблок/аппаратная) 6×2,4</t>
  </si>
  <si>
    <t xml:space="preserve">ТУ произв.</t>
  </si>
  <si>
    <t xml:space="preserve">⚠ ИИ-ГИП: чертёж 2 шт vs смета 1 — свести. Спец. под −40 °C + климат-контроль (не бытовка). Лестрейд/Модуль-Строй.</t>
  </si>
  <si>
    <t xml:space="preserve">D. Заземление / молниезащита</t>
  </si>
  <si>
    <t xml:space="preserve">Комплект заземления (полоса, клеммы 130 шт, верт. заземлители 5 шт)</t>
  </si>
  <si>
    <t xml:space="preserve">ПУЭ гл.1.7; ГОСТ Р 50571</t>
  </si>
  <si>
    <t xml:space="preserve">⚠ ИИ-ГИП: противоречие РД (штыри 6 м vs УКЗУ к рельсу) — уточнить состав до заказа.</t>
  </si>
  <si>
    <t xml:space="preserve">Молниезащита / ОПН высоких опор у КС 27,5 кВ</t>
  </si>
  <si>
    <t xml:space="preserve">ПУЭ; СО 153-34.21.122</t>
  </si>
  <si>
    <t xml:space="preserve">⚠ ИИ-ГИП: в РД НЕ отражена — флаг. Заложить резерв до правки РД.</t>
  </si>
  <si>
    <t xml:space="preserve">E. Арматура СИП / крепёж</t>
  </si>
  <si>
    <t xml:space="preserve">Арматура крепления СИП (анкер./поддерж. зажимы, кронштейны CS, лента-скрепа)</t>
  </si>
  <si>
    <t xml:space="preserve">ТУ (ENSTO/Niled/РФ-аналог)</t>
  </si>
  <si>
    <t xml:space="preserve">Комплект на опору. Нилед/Электролайн. Часть арматуры может быть «зашита» в расценке СИП.</t>
  </si>
  <si>
    <t xml:space="preserve">F. Климатика</t>
  </si>
  <si>
    <t xml:space="preserve">Сплит-система (наружн.+внутр. блок)</t>
  </si>
  <si>
    <t xml:space="preserve">—</t>
  </si>
  <si>
    <t xml:space="preserve">1–3 нед</t>
  </si>
  <si>
    <t xml:space="preserve">⚠ ИИ-ГИП: марка Candy(спец) vs LG(чертёж) — свести. Обогрев сплитом при −40 °C нереален.</t>
  </si>
  <si>
    <t xml:space="preserve">Электроконвектор 1,5 кВт (реальное отопление)</t>
  </si>
  <si>
    <t xml:space="preserve">ГОСТ IEC 60335</t>
  </si>
  <si>
    <t xml:space="preserve">1 нед</t>
  </si>
  <si>
    <t xml:space="preserve">⚠ ИИ-ГИП: есть в паспорте, НЕТ в балансе нагрузок ЭОМ — добавить (недоучёт ~1,5 кВт).</t>
  </si>
  <si>
    <t xml:space="preserve">G. СКЗИ (в нашей смете)</t>
  </si>
  <si>
    <t xml:space="preserve">Криптошлюз ViPNet Coordinator HW (комплект + лицензии)</t>
  </si>
  <si>
    <t xml:space="preserve">Сертификат ФСБ России</t>
  </si>
  <si>
    <t xml:space="preserve">НАША-СКЗИ</t>
  </si>
  <si>
    <t xml:space="preserve">6–10 нед</t>
  </si>
  <si>
    <t xml:space="preserve">Смета 1 386 845 ₽. ТОЛЬКО лицензир. партнёр ИнфоТеКС. HW1000 ~234 тыс/ед — значит комплект из неск. ед.+лиц. ⚠ инициализация ключей — возможно заказчик.</t>
  </si>
  <si>
    <t xml:space="preserve">ИТОГО «НАША ПОСТАВКА» (НАША + НАША-СКЗИ)</t>
  </si>
  <si>
    <t xml:space="preserve">ИТОГО «ОБЪЁМ ПОД ВОПРОСОМ» (металл опор)</t>
  </si>
  <si>
    <t xml:space="preserve">ВСЕГО ПО РЕЕСТРУ (наша + под вопросом)</t>
  </si>
  <si>
    <t xml:space="preserve">↑ в т.ч. ЛОГИСТИКА до ст. Зауралье (отдельной строкой, оценка по плечу)</t>
  </si>
  <si>
    <t xml:space="preserve">ЛЕГЕНДА: синий текст = ввод (объём/рыночная цена, источник — лист 04) · чёрный/серый = формула · КОЛОНКИ: «ТМЦ франко-склад» (J,K) = цена×объём БЕЗ доставки · «Логистика ₽» (L,M) = отдельной строкой, оценка по плечу · «ИТОГО до объекта» (N,O) = ТМЦ + логистика (DDP до ст. Зауралье) · 🟢 плановый · 🟡 срочно/уточнить · 🔴 критично/объём под вопросом · ОБЪЁМ: НАША · НАША-СКЗИ (спец.режим) · УТОЧНИТЬ (наша/давальческое — решение). ЛОГИСТИКА — ОЦЕНКА по плечу (Урал/Екб 6–8%, Москва/центр 10–12%, тяжёлый/негабарит ↑12–15% зимний завоз), не тариф перевозчика. В формальных КП — требую DDP отдельной строкой.</t>
  </si>
  <si>
    <t xml:space="preserve">(служебные ячейки для листа 00 — не удалять)</t>
  </si>
  <si>
    <t xml:space="preserve">КАРТА СРОКОВ ПОСТАВКИ — ПЕРВЫЕ 4 ЧАСА (стандарт v8)</t>
  </si>
  <si>
    <t xml:space="preserve">Топ-ТМЦ по деньгам и риску. Срок реализации в документах НЕ задан ⚠ (флаг ИИ-руководителя проекта/ИИ-ГИП) — крайние сроки от типового цикла монтажа систем 4–6 мес. и от старта после договора. Пересчитать после даты договора (ИИ-договорник).</t>
  </si>
  <si>
    <t xml:space="preserve">Ресурс</t>
  </si>
  <si>
    <t xml:space="preserve">Ориент. сумма</t>
  </si>
  <si>
    <t xml:space="preserve">Срок поставки произв./поставки</t>
  </si>
  <si>
    <t xml:space="preserve">Крайний срок заказа*</t>
  </si>
  <si>
    <t xml:space="preserve">Статус</t>
  </si>
  <si>
    <t xml:space="preserve">Действие</t>
  </si>
  <si>
    <t xml:space="preserve">1</t>
  </si>
  <si>
    <t xml:space="preserve">Опоры металлические 133 шт (металл)</t>
  </si>
  <si>
    <t xml:space="preserve">~5–7 млн</t>
  </si>
  <si>
    <t xml:space="preserve">T0 + 1–2 нед</t>
  </si>
  <si>
    <t xml:space="preserve">🔴 ГОРИТ</t>
  </si>
  <si>
    <t xml:space="preserve">Сначала РЕШИТЬ ОБЪЁМ (наша/давальч.) — ИИ-договорник. Затем КП по ведомости опор — ИИ-снабженец. Заводы Екб.</t>
  </si>
  <si>
    <t xml:space="preserve">2</t>
  </si>
  <si>
    <t xml:space="preserve">Криптошлюз ViPNet (СКЗИ)</t>
  </si>
  <si>
    <t xml:space="preserve">1,2–1,6 млн</t>
  </si>
  <si>
    <t xml:space="preserve">T0 + 0–1 нед</t>
  </si>
  <si>
    <t xml:space="preserve">🟡 СРОЧНО</t>
  </si>
  <si>
    <t xml:space="preserve">Лицензир. партнёр ИнфоТеКС. Уточнить у ИИ-договорника: инициализация ключей — наша или заказчика.</t>
  </si>
  <si>
    <t xml:space="preserve">3</t>
  </si>
  <si>
    <t xml:space="preserve">«Железо» СОТ: камеры/СХД/РЛС/коммут.</t>
  </si>
  <si>
    <t xml:space="preserve">16–45 млн (ориентир)</t>
  </si>
  <si>
    <t xml:space="preserve">8–16 нед</t>
  </si>
  <si>
    <t xml:space="preserve">T0 (если наше)</t>
  </si>
  <si>
    <t xml:space="preserve">ДАВАЛЬЧ.?</t>
  </si>
  <si>
    <t xml:space="preserve">🔴 БЛОКЕР</t>
  </si>
  <si>
    <t xml:space="preserve">НЕ запускать до ответа по объёму. Если наше — длинный тендер + режимный поставщик. Лист 05.</t>
  </si>
  <si>
    <t xml:space="preserve">4</t>
  </si>
  <si>
    <t xml:space="preserve">Блок-контейнер техблок (спец −40 °C)</t>
  </si>
  <si>
    <t xml:space="preserve">0,18–0,35 млн</t>
  </si>
  <si>
    <t xml:space="preserve">T0 + 2–3 нед</t>
  </si>
  <si>
    <t xml:space="preserve">Свести чертёж(2)/смету(1) — ИИ-ГИП. КП с климат-исполнением.</t>
  </si>
  <si>
    <t xml:space="preserve">5</t>
  </si>
  <si>
    <t xml:space="preserve">ВОК подвесной 8 вол G.652.D</t>
  </si>
  <si>
    <t xml:space="preserve">0,2–0,4 млн</t>
  </si>
  <si>
    <t xml:space="preserve">T0 + 3–4 нед</t>
  </si>
  <si>
    <t xml:space="preserve">🟢 ПЛАНОВЫЙ</t>
  </si>
  <si>
    <t xml:space="preserve">Объём по КЖ уточнить. Сарансккабель/НАГ.</t>
  </si>
  <si>
    <t xml:space="preserve">6</t>
  </si>
  <si>
    <t xml:space="preserve">СИП-4 4×25 (эталон)</t>
  </si>
  <si>
    <t xml:space="preserve">0,55–0,77 млн</t>
  </si>
  <si>
    <t xml:space="preserve">3 КП с логистикой — до 07.08. Кабель.РФ/Энергосфера.</t>
  </si>
  <si>
    <t xml:space="preserve">7</t>
  </si>
  <si>
    <t xml:space="preserve">Плиты ПДН + анкеры + ригели</t>
  </si>
  <si>
    <t xml:space="preserve">0,6–1,3 млн</t>
  </si>
  <si>
    <t xml:space="preserve">2–8 нед</t>
  </si>
  <si>
    <t xml:space="preserve">T0 + 2–4 нед</t>
  </si>
  <si>
    <t xml:space="preserve">ЖБИ Екб/Челябинск. Ригели — по чертежу (6–8 нед).</t>
  </si>
  <si>
    <t xml:space="preserve">8</t>
  </si>
  <si>
    <t xml:space="preserve">Заземление + молниезащита ОПН</t>
  </si>
  <si>
    <t xml:space="preserve">0,25–0,6 млн</t>
  </si>
  <si>
    <t xml:space="preserve">2–5 нед</t>
  </si>
  <si>
    <t xml:space="preserve">T0 + 3–5 нед</t>
  </si>
  <si>
    <t xml:space="preserve">Состав уточнить (противоречие РД — ИИ-ГИП). Молниезащита не в РД.</t>
  </si>
  <si>
    <t xml:space="preserve">*T0 = дата подписания договора / старта (в документах НЕ задана). До появления T0 крайние сроки — относительные. 🔴 ГОРИТ ≤14 дн от T0 · 🟡 СРОЧНО 2–6 нед · 🟢 ПЛАНОВЫЙ &gt;6 нед. Как только ИИ-договорник даст дату договора — карта пересчитывается в абсолютные даты.</t>
  </si>
  <si>
    <t xml:space="preserve">ПОСТАВЩИКИ И ЖИВЫЕ ПРАЙСЫ (веб-проверка 03.08.2026)</t>
  </si>
  <si>
    <t xml:space="preserve">Реальные компании + опубликованные цены. Протокол ИИ-снабженца: «офис ≠ производство» — верификацию завода делаю при выходе на формальное КП. Это ориентир, не подписанное КП.</t>
  </si>
  <si>
    <t xml:space="preserve">Позиция</t>
  </si>
  <si>
    <t xml:space="preserve">Поставщик / площадка</t>
  </si>
  <si>
    <t xml:space="preserve">Регион</t>
  </si>
  <si>
    <t xml:space="preserve">Цена (прайс)</t>
  </si>
  <si>
    <t xml:space="preserve">ГОСТ / модель</t>
  </si>
  <si>
    <t xml:space="preserve">Верифик.</t>
  </si>
  <si>
    <t xml:space="preserve">Источник</t>
  </si>
  <si>
    <t xml:space="preserve">СИП-4 4×25</t>
  </si>
  <si>
    <t xml:space="preserve">Кабель.РФ</t>
  </si>
  <si>
    <t xml:space="preserve">Москва/СПб</t>
  </si>
  <si>
    <t xml:space="preserve">от 91 ₽/м</t>
  </si>
  <si>
    <t xml:space="preserve">⏳ завод</t>
  </si>
  <si>
    <t xml:space="preserve">cable.ru</t>
  </si>
  <si>
    <t xml:space="preserve">Энергосфера</t>
  </si>
  <si>
    <t xml:space="preserve">Владивосток/РФ</t>
  </si>
  <si>
    <t xml:space="preserve">132 ₽/м</t>
  </si>
  <si>
    <t xml:space="preserve">energosf.ru</t>
  </si>
  <si>
    <t xml:space="preserve">Электролайт</t>
  </si>
  <si>
    <t xml:space="preserve">Москва</t>
  </si>
  <si>
    <t xml:space="preserve">208 ₽/м (розн.)</t>
  </si>
  <si>
    <t xml:space="preserve">ГОСТ, РФ</t>
  </si>
  <si>
    <t xml:space="preserve">elektrolight.ru</t>
  </si>
  <si>
    <t xml:space="preserve">ВОК 8 вол подвесной</t>
  </si>
  <si>
    <t xml:space="preserve">Сарансккабель-Оптика</t>
  </si>
  <si>
    <t xml:space="preserve">Саранск</t>
  </si>
  <si>
    <t xml:space="preserve">ОКТ-8 ~69 ₽/м*</t>
  </si>
  <si>
    <t xml:space="preserve">G.652.D, 4 кН</t>
  </si>
  <si>
    <t xml:space="preserve">✓ завод РФ</t>
  </si>
  <si>
    <t xml:space="preserve">market.yandex</t>
  </si>
  <si>
    <t xml:space="preserve">ВОК 8 вол</t>
  </si>
  <si>
    <t xml:space="preserve">НАГ</t>
  </si>
  <si>
    <t xml:space="preserve">Екатеринбург</t>
  </si>
  <si>
    <t xml:space="preserve">по прайсу</t>
  </si>
  <si>
    <t xml:space="preserve">самонес. диэлектр.</t>
  </si>
  <si>
    <t xml:space="preserve">⏳</t>
  </si>
  <si>
    <t xml:space="preserve">shop.nag.ru</t>
  </si>
  <si>
    <t xml:space="preserve">Ленсервис</t>
  </si>
  <si>
    <t xml:space="preserve">СПб</t>
  </si>
  <si>
    <t xml:space="preserve">ДОТс/ДПТс подвес</t>
  </si>
  <si>
    <t xml:space="preserve">lenservice.ru</t>
  </si>
  <si>
    <t xml:space="preserve">Труба ПНД 50 SDR11</t>
  </si>
  <si>
    <t xml:space="preserve">РТП (завод)</t>
  </si>
  <si>
    <t xml:space="preserve">Россия</t>
  </si>
  <si>
    <t xml:space="preserve">прайс завода</t>
  </si>
  <si>
    <t xml:space="preserve">✓ завод</t>
  </si>
  <si>
    <t xml:space="preserve">rtp.ru</t>
  </si>
  <si>
    <t xml:space="preserve">ПРОМБАЗА (завод)</t>
  </si>
  <si>
    <t xml:space="preserve">prombase.ru</t>
  </si>
  <si>
    <t xml:space="preserve">Опора ОГК</t>
  </si>
  <si>
    <t xml:space="preserve">Завод «Точка опоры»</t>
  </si>
  <si>
    <t xml:space="preserve">ОГК-5 от 11 800 ₽**</t>
  </si>
  <si>
    <t xml:space="preserve">ГОСТ 23118, гц</t>
  </si>
  <si>
    <t xml:space="preserve">toenergo.ru</t>
  </si>
  <si>
    <t xml:space="preserve">УЗМО</t>
  </si>
  <si>
    <t xml:space="preserve">цена завода</t>
  </si>
  <si>
    <t xml:space="preserve">ОГК оцинк.</t>
  </si>
  <si>
    <t xml:space="preserve">uralzmo.ru</t>
  </si>
  <si>
    <t xml:space="preserve">ГК «Амира»</t>
  </si>
  <si>
    <t xml:space="preserve">Москва/РФ</t>
  </si>
  <si>
    <t xml:space="preserve">ОГК-5 прайс</t>
  </si>
  <si>
    <t xml:space="preserve">ГОСТ 9.307-2021 гц</t>
  </si>
  <si>
    <t xml:space="preserve">amira.ru</t>
  </si>
  <si>
    <t xml:space="preserve">Плита ПДН 6×2</t>
  </si>
  <si>
    <t xml:space="preserve">Завод ЖБИ (i-gbi)</t>
  </si>
  <si>
    <t xml:space="preserve">ГОСТ 21924.0-84</t>
  </si>
  <si>
    <t xml:space="preserve">i-gbi.ru</t>
  </si>
  <si>
    <t xml:space="preserve">АРТ ЖБИ / «Технология»</t>
  </si>
  <si>
    <t xml:space="preserve">РФ</t>
  </si>
  <si>
    <t xml:space="preserve">25 800 ₽/шт</t>
  </si>
  <si>
    <t xml:space="preserve">artgbi.ru</t>
  </si>
  <si>
    <t xml:space="preserve">Блок-контейнер 6×2,4</t>
  </si>
  <si>
    <t xml:space="preserve">Лестрейд</t>
  </si>
  <si>
    <t xml:space="preserve">Москва/Архангельск</t>
  </si>
  <si>
    <t xml:space="preserve">от ~93–150 тыс</t>
  </si>
  <si>
    <t xml:space="preserve">ТУ, минвата 100 мм</t>
  </si>
  <si>
    <t xml:space="preserve">⏳ спец.-40</t>
  </si>
  <si>
    <t xml:space="preserve">bitovkidoma.ru</t>
  </si>
  <si>
    <t xml:space="preserve">Модуль-Строй</t>
  </si>
  <si>
    <t xml:space="preserve">прайс</t>
  </si>
  <si>
    <t xml:space="preserve">ТУ утепл.</t>
  </si>
  <si>
    <t xml:space="preserve">modul-stroi.ru</t>
  </si>
  <si>
    <t xml:space="preserve">Криптошлюз ViPNet</t>
  </si>
  <si>
    <t xml:space="preserve">ИнфоТеКС (вендор)</t>
  </si>
  <si>
    <t xml:space="preserve">HW1000 ~234 тыс</t>
  </si>
  <si>
    <t xml:space="preserve">Сертиф. ФСБ СФ/525</t>
  </si>
  <si>
    <t xml:space="preserve">✓ вендор</t>
  </si>
  <si>
    <t xml:space="preserve">infotecs.ru</t>
  </si>
  <si>
    <t xml:space="preserve">Komrunet / Syssoft (партнёр)</t>
  </si>
  <si>
    <t xml:space="preserve">по конфигурации</t>
  </si>
  <si>
    <t xml:space="preserve">Сертиф. ФСБ/ФСТЭК</t>
  </si>
  <si>
    <t xml:space="preserve">✓ партнёр</t>
  </si>
  <si>
    <t xml:space="preserve">komrunet.ru</t>
  </si>
  <si>
    <t xml:space="preserve">* Сарансккабель ОКТ-8 4 кН ~34 442 ₽/500 м ≈ 69 ₽/м (Я.Маркет). ** ОГК-5 (5 м) — базовая; для опор под СИП+камеры массой 0,4–1 т нужен типоразмер выше (ОГК-9…11 / силовая) — цена 35–85 тыс/шт, точно по ведомости опор РД. Верификация: ✓ = завод/вендор подтверждён публично; ⏳ = проверю производство при выходе на формальное КП (протокол «офис ≠ производство»). Все ГОСТ/сертификаты запрашиваю В МОМЕНТ выбора поставщика (протокол 3), не «при поставке».</t>
  </si>
  <si>
    <t xml:space="preserve">ОБЪЁМ ОБОРУДОВАНИЯ СОТ — НАША ПОСТАВКА ИЛИ ДАВАЛЬЧЕСКОЕ?</t>
  </si>
  <si>
    <t xml:space="preserve">Прямой ответ на флаг 3 ИИ-руководителя проекта / находку 4 ИИ-ГИП. «Железо» СОТ в смете НЕ заведено как поставка (только монтаж).</t>
  </si>
  <si>
    <t xml:space="preserve">ЗАКЛЮЧЕНИЕ ИИ-СНАБЖЕНЦА: почти наверняка ДАВАЛЬЧЕСКОЕ / поставка заказчика (⚠ ПРЕДПОЛОЖЕНИЕ — нужно письменное подтверждение ИИ-договорника)</t>
  </si>
  <si>
    <t xml:space="preserve">Три довода: (1) строка «оборудование» сметы = 2,22 млн (в т.ч. ViPNet 1,39 млн), а «железо» ниже — на 16–45 млн: масштаб несопоставим; (2) РЛС Orwell-R, серверы СХД, криптомодули — режимное спецоборудование охраны госграницы, поставляется через режимного поставщика/заказчика (контур ФСБ); (3) в смете заведён только монтаж этого железа (труд) — классический признак давальческой схемы. НО пока ИИ-договорник не подтвердил письменно — это предположение, и себестоимость недостоверна.</t>
  </si>
  <si>
    <t xml:space="preserve">Позиция ПД (спецификация)</t>
  </si>
  <si>
    <t xml:space="preserve">Кол-во</t>
  </si>
  <si>
    <t xml:space="preserve">Ориентир ₽/ед</t>
  </si>
  <si>
    <t xml:space="preserve">Ориентир мин ₽</t>
  </si>
  <si>
    <t xml:space="preserve">Ориентир макс ₽</t>
  </si>
  <si>
    <t xml:space="preserve">Статус в смете</t>
  </si>
  <si>
    <t xml:space="preserve">Объём — вывод</t>
  </si>
  <si>
    <t xml:space="preserve">Камеры видеонаблюдения (4/8 Мп)</t>
  </si>
  <si>
    <t xml:space="preserve">202</t>
  </si>
  <si>
    <t xml:space="preserve">монтаж 191 шт, поставки нет</t>
  </si>
  <si>
    <t xml:space="preserve">давальческое?</t>
  </si>
  <si>
    <t xml:space="preserve">Сервер СХД 384 Тб</t>
  </si>
  <si>
    <t xml:space="preserve">нет</t>
  </si>
  <si>
    <t xml:space="preserve">РЛС Orwell-R (модуль)</t>
  </si>
  <si>
    <t xml:space="preserve">давальческое? (режимн.)</t>
  </si>
  <si>
    <t xml:space="preserve">Радиолучевой извещатель НЕО</t>
  </si>
  <si>
    <t xml:space="preserve">Коммутатор уличный</t>
  </si>
  <si>
    <t xml:space="preserve">36</t>
  </si>
  <si>
    <t xml:space="preserve">ИБП (комплект)</t>
  </si>
  <si>
    <t xml:space="preserve">ИТОГО ОРИЕНТИР «ЖЕЛЕЗО» СОТ (вне нашей сметы как поставка)</t>
  </si>
  <si>
    <t xml:space="preserve">РАЗВИЛКА ДЛЯ ИИ-РУКОВОДИТЕЛЯ ПРОЕКТА (решение — за ним, после ответа ИИ-договорника по договору):</t>
  </si>
  <si>
    <t xml:space="preserve">A. ДАВАЛЬЧЕСКОЕ / поставка заказчика</t>
  </si>
  <si>
    <t xml:space="preserve">Наша выручка = только монтаж (что и в смете). Себес по железу = 0. Наш объём ТМЦ — материалы ЭОМ + ViPNet + опоры(если наши). Риск: приёмка/ответственность за чужое железо, простои при непоставке заказчиком.</t>
  </si>
  <si>
    <t xml:space="preserve">🟢 наиболее вероятно</t>
  </si>
  <si>
    <t xml:space="preserve">B. НАША ПОСТАВКА</t>
  </si>
  <si>
    <t xml:space="preserve">Себес +16–45 млн, которых в смете НЕТ → объект глубоко убыточен без допсметы/пересчёта НМЦК. Плюс режимный поставщик (ФСБ/ФСТЭК), длинный тендер, срок поставки 8–16 нед.</t>
  </si>
  <si>
    <t xml:space="preserve">🔴 без допсметы — стоп</t>
  </si>
  <si>
    <t xml:space="preserve">C. СМЕШАННО</t>
  </si>
  <si>
    <t xml:space="preserve">Часть (камеры/коммутаторы) — наша, спец (РЛС/СХД/крипто) — заказчика. Требует построчного разнесения в договоре.</t>
  </si>
  <si>
    <t xml:space="preserve">🟡 уточнить построчно</t>
  </si>
  <si>
    <t xml:space="preserve">ДОП. РАСХОЖДЕНИЯ ПО СПЕЦИФИКАЦИИ (свести до заказа): камеры смета 191 vs ПД 202 (Δ11) + разрешение 4/8/16 Мп; сплит Candy(спец) vs LG(чертёж); блок-контейнер 2(чертёж) vs 1(смета). Сверяю с ИИ-ГИП/проектировщиком.</t>
  </si>
  <si>
    <t xml:space="preserve">(служебные ячейки для листа 00)</t>
  </si>
  <si>
    <t xml:space="preserve">ВЛИЯНИЕ ЗАКУПОК НА МАРЖУ (принцип 5: рентабельность — задача всей команды)</t>
  </si>
  <si>
    <t xml:space="preserve">Моя зона — разница «рынок vs смета» по ТМЦ. Знак маржи объекта в целом определяет блок «выноса КС» (ИИ-ГИП/ИИ-сметчик) — это работы, вне моей зоны.</t>
  </si>
  <si>
    <t xml:space="preserve">Позиция / фактор</t>
  </si>
  <si>
    <t xml:space="preserve">Смета (база)</t>
  </si>
  <si>
    <t xml:space="preserve">Рынок / факт (план)</t>
  </si>
  <si>
    <t xml:space="preserve">Δ к марже</t>
  </si>
  <si>
    <t xml:space="preserve">СИП-4 4×25 (рынок vs смета)</t>
  </si>
  <si>
    <t xml:space="preserve">в РИМ</t>
  </si>
  <si>
    <t xml:space="preserve">паритет/±</t>
  </si>
  <si>
    <t xml:space="preserve">Эталон — сметная цена близка к рынку</t>
  </si>
  <si>
    <t xml:space="preserve">Опоры металл (если НАША поставка)</t>
  </si>
  <si>
    <t xml:space="preserve">не выделено</t>
  </si>
  <si>
    <t xml:space="preserve">5–7 млн</t>
  </si>
  <si>
    <t xml:space="preserve">−5…−7 млн если недоучтено</t>
  </si>
  <si>
    <t xml:space="preserve">Если опоры наши и не в смете — прямой минус. Ключ — объём.</t>
  </si>
  <si>
    <t xml:space="preserve">«Железо» СОТ (если НАША поставка)</t>
  </si>
  <si>
    <t xml:space="preserve">0 (нет)</t>
  </si>
  <si>
    <t xml:space="preserve">16–45 млн</t>
  </si>
  <si>
    <t xml:space="preserve">−16…−45 млн</t>
  </si>
  <si>
    <t xml:space="preserve">Катастрофа без допсметы. См. лист 05.</t>
  </si>
  <si>
    <t xml:space="preserve">ViPNet (смета vs рынок)</t>
  </si>
  <si>
    <t xml:space="preserve">1,39 млн</t>
  </si>
  <si>
    <t xml:space="preserve">−0,2…+0,2 млн</t>
  </si>
  <si>
    <t xml:space="preserve">В рынке; конфигурация уточнит цену.</t>
  </si>
  <si>
    <t xml:space="preserve">ЖБИ/плиты/анкеры (Урал vs центр)</t>
  </si>
  <si>
    <t xml:space="preserve">+0,05…+0,2 млн</t>
  </si>
  <si>
    <t xml:space="preserve">Экономия на региональном плече (Екб).</t>
  </si>
  <si>
    <t xml:space="preserve">Логистика: Урал вместо Москвы</t>
  </si>
  <si>
    <t xml:space="preserve">10–12%</t>
  </si>
  <si>
    <t xml:space="preserve">6–8% по тяжёлым ТМЦ</t>
  </si>
  <si>
    <t xml:space="preserve">+0,3…+0,6 млн</t>
  </si>
  <si>
    <t xml:space="preserve">Опоры/плиты с уральских заводов.</t>
  </si>
  <si>
    <t xml:space="preserve">НДС-разрыв 20%→22% (справочно)</t>
  </si>
  <si>
    <t xml:space="preserve">20%</t>
  </si>
  <si>
    <t xml:space="preserve">22% (2026)</t>
  </si>
  <si>
    <t xml:space="preserve">−2,0 млн</t>
  </si>
  <si>
    <t xml:space="preserve">Не моя зона (ИИ-экономист/ИИ-договорник), но влияет на цену ТМЦ с НДС.</t>
  </si>
  <si>
    <t xml:space="preserve">ВЫВОД ДЛЯ ИИ-ЭКОНОМИСТА: моя зона (ТМЦ) даёт небольшой ПЛЮС (+0,4…+1,0 млн) на логистике и региональных ЖБИ — ЕСЛИ объём «наша поставка» ограничен материалами. НО два фактора могут перевернуть знак маржи объекта: (1) опоры (5–7 млн) и (2) «железо» СОТ (16–45 млн). Оба — вопрос ОБЪЁМА, а не цены. Пока ИИ-договорник не закрыл объём и ИИ-сметчик не пересчитала блок КС — маржа объекта недостоверна. Согласен с рекомендацией ИИ-сметчика: базовый сценарий Б.</t>
  </si>
  <si>
    <t xml:space="preserve">ПЛАН НА 72 ЧАСА + УПРЕЖДАЮЩИЙ РАЗБОР РИСКОВ ЗАКУПОК</t>
  </si>
  <si>
    <t xml:space="preserve">Стандарт v8: нет 72-часового плана по горящей позиции — ответ неполный. Упреждающий разбор рисков: «поставка сорвана — почему?»</t>
  </si>
  <si>
    <t xml:space="preserve">Срок</t>
  </si>
  <si>
    <t xml:space="preserve">Лвл</t>
  </si>
  <si>
    <t xml:space="preserve">Исполнитель</t>
  </si>
  <si>
    <t xml:space="preserve">Результат</t>
  </si>
  <si>
    <t xml:space="preserve">СЕГОДНЯ 03.08</t>
  </si>
  <si>
    <t xml:space="preserve">АЛЕРТ ИИ-руководителю проекта: объём оборудования СОТ (16–45 млн) не определён → до ответа себес недостоверен</t>
  </si>
  <si>
    <t xml:space="preserve">ИИ-снабженец → ИИ-руководитель проекта → ИИ-договорник</t>
  </si>
  <si>
    <t xml:space="preserve">Письмо/запрос заказчику о объёме</t>
  </si>
  <si>
    <t xml:space="preserve">Запрос ИИ-договорнику: оборудование СОТ и внешнее электроснабжение (ТП) — в нашем договоре или у заказчика?</t>
  </si>
  <si>
    <t xml:space="preserve">ИИ-снабженец → ИИ-договорник</t>
  </si>
  <si>
    <t xml:space="preserve">Ответ по объёму к 05.08</t>
  </si>
  <si>
    <t xml:space="preserve">Запрос ИИ-сметчику: где сидит стоимость металла опор (СМР или материалы)? Ведомость опор с массой</t>
  </si>
  <si>
    <t xml:space="preserve">ИИ-снабженец → ИИ-сметчик</t>
  </si>
  <si>
    <t xml:space="preserve">Разнесение опор к 05.08</t>
  </si>
  <si>
    <t xml:space="preserve">04.08</t>
  </si>
  <si>
    <t xml:space="preserve">3 КП по СИП-4 4×25 с логистикой до ст. Зауралье (Кабель.РФ, Энергосфера, Электролайт)</t>
  </si>
  <si>
    <t xml:space="preserve">ИИ-снабженец</t>
  </si>
  <si>
    <t xml:space="preserve">3 КП до 07.08</t>
  </si>
  <si>
    <t xml:space="preserve">КП по ВОК 8 вол G.652.D (Сарансккабель, НАГ, Ленсервис) — объём по КЖ уточнить у ИИ-ГИП</t>
  </si>
  <si>
    <t xml:space="preserve">ИИ-снабженец + ИИ-ГИП</t>
  </si>
  <si>
    <t xml:space="preserve">КП + объём до 07.08</t>
  </si>
  <si>
    <t xml:space="preserve">05.08</t>
  </si>
  <si>
    <t xml:space="preserve">КП по опорам от уральских заводов (Точка опоры, УЗМО) — как только придёт ведомость опор</t>
  </si>
  <si>
    <t xml:space="preserve">КП по массе до 08.08</t>
  </si>
  <si>
    <t xml:space="preserve">Запрос конфигурации ViPNet у партнёра ИнфоТеКС + уточнить инициализацию ключей</t>
  </si>
  <si>
    <t xml:space="preserve">Спецификация СКЗИ до 08.08</t>
  </si>
  <si>
    <t xml:space="preserve">06.08</t>
  </si>
  <si>
    <t xml:space="preserve">КП по блок-контейнеру (спец −40 °C), плитам ПДН, анкерам — региональные заводы</t>
  </si>
  <si>
    <t xml:space="preserve">КП до 09.08</t>
  </si>
  <si>
    <t xml:space="preserve">07.08</t>
  </si>
  <si>
    <t xml:space="preserve">Свести спецификацию: камеры 191/202 + разрешение; сплит Candy/LG; контейнер 1/2</t>
  </si>
  <si>
    <t xml:space="preserve">Единая спецификация</t>
  </si>
  <si>
    <t xml:space="preserve">08.08</t>
  </si>
  <si>
    <t xml:space="preserve">Отбор-отчёт по топ-позициям (3 кандидата каждая) → ИИ-руководителю проекта</t>
  </si>
  <si>
    <t xml:space="preserve">ИИ-снабженец → ИИ-руководитель проекта</t>
  </si>
  <si>
    <t xml:space="preserve">Решение по поставщикам</t>
  </si>
  <si>
    <t xml:space="preserve">Еженедельно Пт 16:00</t>
  </si>
  <si>
    <t xml:space="preserve">🔵</t>
  </si>
  <si>
    <t xml:space="preserve">Дашборд поставок (план/факт) → ИИ-руководителю проекта</t>
  </si>
  <si>
    <t xml:space="preserve">Постоянный контроль</t>
  </si>
  <si>
    <t xml:space="preserve">УПРЕЖДАЮЩИЙ РАЗБОР РИСКОВ: «Декабрь 2026 — закупки провалились. Почему?» (Факт / Предположение / Неизвестное)</t>
  </si>
  <si>
    <t xml:space="preserve">Тип</t>
  </si>
  <si>
    <t xml:space="preserve">Сценарий провала</t>
  </si>
  <si>
    <t xml:space="preserve">Контрмера</t>
  </si>
  <si>
    <t xml:space="preserve">✅ ФАКТ (сейчас)</t>
  </si>
  <si>
    <t xml:space="preserve">Объём оборудования СОТ не определён — при «наша поставка» дыра 16–45 млн</t>
  </si>
  <si>
    <t xml:space="preserve">Блокировка закупки железа. Алерт ИИ-руководителю проекта. ИИ-договорник — письмо заказчику. Не заказывать до ответа.</t>
  </si>
  <si>
    <t xml:space="preserve">Металл опор (5–7 млн) не бьётся с материальной базой сметы (1,86 млн)</t>
  </si>
  <si>
    <t xml:space="preserve">ИИ-сметчик — разнесение (СМР/материалы). Я — КП по ведомости. До ответа опоры = объём под вопросом.</t>
  </si>
  <si>
    <t xml:space="preserve">⚠ ПРЕДПОЛОЖЕНИЕ</t>
  </si>
  <si>
    <t xml:space="preserve">Опора «ОГК-5» — базовый типоразмер; реально нужнее выше (0,4–1 т) → цена в 2–3× выше ориентира</t>
  </si>
  <si>
    <t xml:space="preserve">КП строго по ведомости опор РД (масса/марка). Не заказывать по базовой цене.</t>
  </si>
  <si>
    <t xml:space="preserve">ViPNet: инициализация ключей/настройка — на заказчике, а мы заложили как полную поставку</t>
  </si>
  <si>
    <t xml:space="preserve">Уточнить у ИИ-договорника границу поставки СКЗИ. Партнёр ИнфоТеКС — что входит.</t>
  </si>
  <si>
    <t xml:space="preserve">Поставщик опор/контейнера — «офис без завода»</t>
  </si>
  <si>
    <t xml:space="preserve">Протокол 1: фото цеха + паспорт производства при выходе на КП. Приоритет заводам Екб.</t>
  </si>
  <si>
    <t xml:space="preserve">❌ НЕИЗВЕСТНОЕ</t>
  </si>
  <si>
    <t xml:space="preserve">Срок исполнения (T0) в документах не задан — все сроки поставки относительны</t>
  </si>
  <si>
    <t xml:space="preserve">ИИ-договорник — дата договора/старта. После — пересчёт карты сроков поставки в абсолютные даты.</t>
  </si>
  <si>
    <t xml:space="preserve">Лимит самостоятельного решения ИИ-снабженца не установлен</t>
  </si>
  <si>
    <t xml:space="preserve">Запросить у ИИ-руководителя проекта. До получения — всё &gt;1 млн через отбор.</t>
  </si>
  <si>
    <t xml:space="preserve">ПЕРЕДАЧИ СМЕЖНИКАМ КОМАНДЕ — ВВОДНЫЕ ДЛЯ КАЖДОГО АГЕНТА</t>
  </si>
  <si>
    <t xml:space="preserve">Точка входа/синтеза — ИИ-руководитель проекта. Конвейер v8.2.</t>
  </si>
  <si>
    <t xml:space="preserve">🎯 → ИИ-РУКОВОДИТЕЛЮ ПРОЕКТА (РП)</t>
  </si>
  <si>
    <t xml:space="preserve">АЛЕРТ-1: объём оборудования СОТ (16–45 млн) не определён — до ответа себес недостоверен. АЛЕРТ-2: металл опор (5–7 млн) не бьётся с материальной базой сметы (1,86 млн). Отбор по топ-позициям — до 08.08. Запрос: лимит самостоятельного решения. Еженедельный дашборд — Пт 16:00.</t>
  </si>
  <si>
    <t xml:space="preserve">⚖️ ↔ С ИИ-ДОГОВОРНИКОМ (Договор)</t>
  </si>
  <si>
    <t xml:space="preserve">КЛЮЧЕВОЕ: оборудование СОТ и внешнее электроснабжение (ТП) — в нашем договоре или у заказчика? НДС 22% — формулировка (флаг 1). ViPNet — граница поставки СКЗИ (инициализация ключей). Риски простоя по «окнам» РЖД — чьи. Условия: DDP до ст. Зауралье, аванс 30% (опоры/контейнер — 50%), гарантия 12–24 мес.</t>
  </si>
  <si>
    <t xml:space="preserve">📊 ← ОТ ИИ-СМЕТЧИКА (Смета)</t>
  </si>
  <si>
    <t xml:space="preserve">Где сидит стоимость металла опор — СМР или материалы? Ведомость опор с массой/маркой. Реиндекс II кв.2025→2026 (флаг 7). СИП-4 4,96 км принят как эталон. Двойной ПНР (0,89 млн) — учесть при цене монтажа.</t>
  </si>
  <si>
    <t xml:space="preserve">🔧 ← ОТ ИИ-ГИП (ГИП)</t>
  </si>
  <si>
    <t xml:space="preserve">Объём ВОК по кабельному журналу РД. Ведомость опор (типоразмер/масса) — без неё КП по опорам не точен. Свести: камеры 191/202 + разрешение; сплит Candy/LG; контейнер 1/2. Состав заземления (штырь vs рельс). Молниезащита ОПН — заложить резерв.</t>
  </si>
  <si>
    <t xml:space="preserve">💰 ← ОТ ИИ-ЭКОНОМИСТА (Эконом)</t>
  </si>
  <si>
    <t xml:space="preserve">Жду: потолки цен по группам ТМЦ после реиндекса. Cash flow под авансы (опоры/контейнер 50%, СИП/ВОК 30%). Пересчёт финансовый результат с учётом объёма оборудования (два сценария: наше/давальческое).</t>
  </si>
  <si>
    <t xml:space="preserve">🤝 ↔ С ИИ-ПОДРЯДЧИКОМ (Подряд)</t>
  </si>
  <si>
    <t xml:space="preserve">Зона перекрытия: монтаж на действующих путях у КС 27,5 кВ — подрядчик с допуском к работам на КС и в «окна» РЖД (бригада ЭЧ). Спецтехника (автогидроподъёмник, вибропогружатель) — аренда vs субподряд. Опоры/арматура СИП «под ключ» — делим: я материалы, ИИ-подрядчик монтаж.</t>
  </si>
  <si>
    <t xml:space="preserve">📋 → ИИ-ПТО (ПТО)</t>
  </si>
  <si>
    <t xml:space="preserve">Реестр ожидаемых поставок — после КП и решений ИИ-руководителя проекта. Сертификаты/паспорта на каждую партию (СИП ГОСТ 31946, труба ГОСТ 18599, ViPNet — сертификат ФСБ). Входной контроль под ж/д + категорированный объект. Аккредит. электролаборатория.</t>
  </si>
  <si>
    <t xml:space="preserve">📞 ↔ С ИИ-АДМИНИСТРАТОРОМ (Админ)</t>
  </si>
  <si>
    <t xml:space="preserve">Точный адрес/реквизиты для логистики DDP (ст. Зауралье, пк 6+80). Внести ТМЦ-данные в мастер-паспорт. Еженедельная сводка поставок в дашборд ИИ-руководителя проекта. Статус объёма оборудования — держать на контроле.</t>
  </si>
  <si>
    <t xml:space="preserve">ИИ-снабженец · Закупочный агент · СтройИнтеллект.Закуп v8.2 │ 03.08.2026 │ SI-2026-KRG-ZAU-СОТ. Опора: паспорт ИИ-руководителя проекта, ЧТЗ ИИ-ГИП (v1), смета ИИ-сметчика (v1), собственная опорная база v1.0. Цены — веб-проверка 03.08.2026.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</si>
</sst>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 ₽&quot;;\-#,##0&quot; ₽&quot;;\-"/>
    <numFmt numFmtId="166" formatCode="#,##0.###"/>
    <numFmt numFmtId="167" formatCode="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1E714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8CBCB"/>
        <bgColor rgb="FFCCCCFF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AF0FA"/>
      </patternFill>
    </fill>
    <fill>
      <patternFill patternType="solid">
        <fgColor rgb="FFF2F2F2"/>
        <bgColor rgb="FFEAF0FA"/>
      </patternFill>
    </fill>
    <fill>
      <patternFill patternType="solid">
        <fgColor rgb="FFEAF0FA"/>
        <bgColor rgb="FFF2F2F2"/>
      </patternFill>
    </fill>
    <fill>
      <patternFill patternType="solid">
        <fgColor rgb="FF1E7145"/>
        <bgColor rgb="FF008080"/>
      </patternFill>
    </fill>
    <fill>
      <patternFill patternType="solid">
        <fgColor rgb="FFC00000"/>
        <bgColor rgb="FF8000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 diagonalUp="false" diagonalDown="false"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4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1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84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30" hidden="false" customHeight="true" outlineLevel="0" collapsed="false">
      <c r="A9" s="6" t="s">
        <v>7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A11" s="6" t="s">
        <v>9</v>
      </c>
      <c r="B11" s="6"/>
      <c r="C11" s="6"/>
      <c r="D11" s="6"/>
      <c r="E11" s="6"/>
      <c r="F11" s="6"/>
      <c r="G11" s="6"/>
      <c r="H11" s="6"/>
    </row>
    <row r="12" customFormat="false" ht="55.5" hidden="false" customHeight="true" outlineLevel="0" collapsed="false">
      <c r="A12" s="5" t="s">
        <v>10</v>
      </c>
      <c r="B12" s="5"/>
      <c r="C12" s="5"/>
      <c r="D12" s="5"/>
      <c r="E12" s="5"/>
      <c r="F12" s="5"/>
      <c r="G12" s="5"/>
      <c r="H12" s="5"/>
    </row>
    <row r="13" customFormat="false" ht="30" hidden="false" customHeight="true" outlineLevel="0" collapsed="false">
      <c r="A13" s="7" t="s">
        <v>11</v>
      </c>
      <c r="B13" s="7"/>
      <c r="C13" s="7"/>
      <c r="D13" s="7"/>
      <c r="E13" s="7"/>
      <c r="F13" s="7"/>
      <c r="G13" s="7"/>
      <c r="H13" s="7"/>
    </row>
    <row r="14" customFormat="false" ht="55.5" hidden="false" customHeight="true" outlineLevel="0" collapsed="false">
      <c r="A14" s="5" t="s">
        <v>12</v>
      </c>
      <c r="B14" s="5"/>
      <c r="C14" s="5"/>
      <c r="D14" s="5"/>
      <c r="E14" s="5"/>
      <c r="F14" s="5"/>
      <c r="G14" s="5"/>
      <c r="H14" s="5"/>
    </row>
    <row r="16" customFormat="false" ht="15" hidden="false" customHeight="false" outlineLevel="0" collapsed="false">
      <c r="A16" s="3" t="s">
        <v>13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8" t="s">
        <v>14</v>
      </c>
      <c r="B17" s="8"/>
      <c r="C17" s="8"/>
      <c r="D17" s="8" t="s">
        <v>15</v>
      </c>
      <c r="E17" s="8"/>
      <c r="F17" s="8"/>
      <c r="G17" s="8" t="s">
        <v>16</v>
      </c>
      <c r="H17" s="8"/>
    </row>
    <row r="18" customFormat="false" ht="19.4" hidden="false" customHeight="true" outlineLevel="0" collapsed="false">
      <c r="A18" s="9" t="s">
        <v>17</v>
      </c>
      <c r="B18" s="9"/>
      <c r="C18" s="9"/>
      <c r="D18" s="10" t="n">
        <v>1862206</v>
      </c>
      <c r="E18" s="10"/>
      <c r="F18" s="10"/>
      <c r="G18" s="11" t="s">
        <v>18</v>
      </c>
      <c r="H18" s="11"/>
    </row>
    <row r="19" customFormat="false" ht="22.35" hidden="false" customHeight="true" outlineLevel="0" collapsed="false">
      <c r="A19" s="9" t="s">
        <v>19</v>
      </c>
      <c r="B19" s="9"/>
      <c r="C19" s="9"/>
      <c r="D19" s="10" t="n">
        <v>2222036</v>
      </c>
      <c r="E19" s="10"/>
      <c r="F19" s="10"/>
      <c r="G19" s="11" t="s">
        <v>20</v>
      </c>
      <c r="H19" s="11"/>
    </row>
    <row r="20" customFormat="false" ht="15" hidden="false" customHeight="true" outlineLevel="0" collapsed="false">
      <c r="A20" s="9" t="s">
        <v>21</v>
      </c>
      <c r="B20" s="9"/>
      <c r="C20" s="9"/>
      <c r="D20" s="12" t="str">
        <f aca="false">02_Реестр_ТМЦ!I200&amp;" … "&amp;02_Реестр_ТМЦ!J200</f>
        <v>3,901,302 ₽ … 6,730,466 ₽</v>
      </c>
      <c r="E20" s="12"/>
      <c r="F20" s="12"/>
      <c r="G20" s="11" t="s">
        <v>22</v>
      </c>
      <c r="H20" s="11"/>
    </row>
    <row r="21" customFormat="false" ht="15" hidden="false" customHeight="true" outlineLevel="0" collapsed="false">
      <c r="A21" s="9" t="s">
        <v>23</v>
      </c>
      <c r="B21" s="9"/>
      <c r="C21" s="9"/>
      <c r="D21" s="12" t="str">
        <f aca="false">02_Реестр_ТМЦ!I201&amp;" … "&amp;02_Реестр_ТМЦ!J201</f>
        <v>5,061,500 ₽ … 7,540,840 ₽</v>
      </c>
      <c r="E21" s="12"/>
      <c r="F21" s="12"/>
      <c r="G21" s="11" t="s">
        <v>24</v>
      </c>
      <c r="H21" s="11"/>
    </row>
    <row r="22" customFormat="false" ht="15" hidden="false" customHeight="true" outlineLevel="0" collapsed="false">
      <c r="A22" s="9" t="s">
        <v>25</v>
      </c>
      <c r="B22" s="9"/>
      <c r="C22" s="9"/>
      <c r="D22" s="12" t="str">
        <f aca="false">05_Скоуп_оборуд!F30&amp;" … "&amp;05_Скоуп_оборуд!G30</f>
        <v>15,810,000 ₽ … 45,600,000 ₽</v>
      </c>
      <c r="E22" s="12"/>
      <c r="F22" s="12"/>
      <c r="G22" s="11" t="s">
        <v>26</v>
      </c>
      <c r="H22" s="11"/>
    </row>
    <row r="24" customFormat="false" ht="15" hidden="false" customHeight="true" outlineLevel="0" collapsed="false">
      <c r="A24" s="13" t="s">
        <v>27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</sheetData>
  <mergeCells count="33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4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8"/>
    <col collapsed="false" customWidth="true" hidden="false" outlineLevel="0" max="4" min="3" style="0" width="2"/>
  </cols>
  <sheetData>
    <row r="1" customFormat="false" ht="30" hidden="false" customHeight="true" outlineLevel="0" collapsed="false">
      <c r="A1" s="1" t="s">
        <v>28</v>
      </c>
      <c r="B1" s="1"/>
      <c r="C1" s="1"/>
      <c r="D1" s="1"/>
    </row>
    <row r="2" customFormat="false" ht="25.5" hidden="false" customHeight="true" outlineLevel="0" collapsed="false">
      <c r="A2" s="2" t="s">
        <v>29</v>
      </c>
      <c r="B2" s="2"/>
      <c r="C2" s="2"/>
      <c r="D2" s="2"/>
    </row>
    <row r="4" customFormat="false" ht="27.75" hidden="false" customHeight="true" outlineLevel="0" collapsed="false">
      <c r="A4" s="14" t="s">
        <v>30</v>
      </c>
      <c r="B4" s="15" t="s">
        <v>31</v>
      </c>
    </row>
    <row r="5" customFormat="false" ht="27.75" hidden="false" customHeight="true" outlineLevel="0" collapsed="false">
      <c r="A5" s="14" t="s">
        <v>32</v>
      </c>
      <c r="B5" s="15" t="s">
        <v>33</v>
      </c>
    </row>
    <row r="6" customFormat="false" ht="27.75" hidden="false" customHeight="true" outlineLevel="0" collapsed="false">
      <c r="A6" s="14" t="s">
        <v>34</v>
      </c>
      <c r="B6" s="15" t="s">
        <v>35</v>
      </c>
    </row>
    <row r="7" customFormat="false" ht="27.75" hidden="false" customHeight="true" outlineLevel="0" collapsed="false">
      <c r="A7" s="14" t="s">
        <v>36</v>
      </c>
      <c r="B7" s="15" t="s">
        <v>37</v>
      </c>
    </row>
    <row r="8" customFormat="false" ht="27.75" hidden="false" customHeight="true" outlineLevel="0" collapsed="false">
      <c r="A8" s="14" t="s">
        <v>38</v>
      </c>
      <c r="B8" s="15" t="s">
        <v>39</v>
      </c>
    </row>
    <row r="9" customFormat="false" ht="27.75" hidden="false" customHeight="true" outlineLevel="0" collapsed="false">
      <c r="A9" s="14" t="s">
        <v>40</v>
      </c>
      <c r="B9" s="15" t="s">
        <v>41</v>
      </c>
    </row>
    <row r="10" customFormat="false" ht="27.75" hidden="false" customHeight="true" outlineLevel="0" collapsed="false">
      <c r="A10" s="14" t="s">
        <v>42</v>
      </c>
      <c r="B10" s="15" t="s">
        <v>43</v>
      </c>
    </row>
    <row r="11" customFormat="false" ht="27.75" hidden="false" customHeight="true" outlineLevel="0" collapsed="false">
      <c r="A11" s="14" t="s">
        <v>44</v>
      </c>
      <c r="B11" s="15" t="s">
        <v>45</v>
      </c>
    </row>
    <row r="12" customFormat="false" ht="27.75" hidden="false" customHeight="true" outlineLevel="0" collapsed="false">
      <c r="A12" s="14" t="s">
        <v>46</v>
      </c>
      <c r="B12" s="15" t="s">
        <v>47</v>
      </c>
    </row>
    <row r="13" customFormat="false" ht="27.75" hidden="false" customHeight="true" outlineLevel="0" collapsed="false">
      <c r="A13" s="14" t="s">
        <v>48</v>
      </c>
      <c r="B13" s="15" t="s">
        <v>49</v>
      </c>
    </row>
    <row r="14" customFormat="false" ht="27.75" hidden="false" customHeight="true" outlineLevel="0" collapsed="false">
      <c r="A14" s="14" t="s">
        <v>50</v>
      </c>
      <c r="B14" s="15" t="s">
        <v>51</v>
      </c>
    </row>
    <row r="15" customFormat="false" ht="27.75" hidden="false" customHeight="true" outlineLevel="0" collapsed="false">
      <c r="A15" s="14" t="s">
        <v>52</v>
      </c>
      <c r="B15" s="15" t="s">
        <v>53</v>
      </c>
    </row>
    <row r="16" customFormat="false" ht="27.75" hidden="false" customHeight="true" outlineLevel="0" collapsed="false">
      <c r="A16" s="14" t="s">
        <v>54</v>
      </c>
      <c r="B16" s="15" t="s">
        <v>55</v>
      </c>
    </row>
    <row r="17" customFormat="false" ht="27.75" hidden="false" customHeight="true" outlineLevel="0" collapsed="false">
      <c r="A17" s="14" t="s">
        <v>56</v>
      </c>
      <c r="B17" s="15" t="s">
        <v>57</v>
      </c>
    </row>
    <row r="18" customFormat="false" ht="27.75" hidden="false" customHeight="true" outlineLevel="0" collapsed="false">
      <c r="A18" s="14" t="s">
        <v>58</v>
      </c>
      <c r="B18" s="15" t="s">
        <v>59</v>
      </c>
    </row>
    <row r="19" customFormat="false" ht="27.75" hidden="false" customHeight="true" outlineLevel="0" collapsed="false">
      <c r="A19" s="14" t="s">
        <v>60</v>
      </c>
      <c r="B19" s="15" t="s">
        <v>61</v>
      </c>
    </row>
    <row r="20" customFormat="false" ht="27.75" hidden="false" customHeight="true" outlineLevel="0" collapsed="false">
      <c r="A20" s="14" t="s">
        <v>62</v>
      </c>
      <c r="B20" s="15" t="s">
        <v>63</v>
      </c>
    </row>
    <row r="21" customFormat="false" ht="27.75" hidden="false" customHeight="true" outlineLevel="0" collapsed="false">
      <c r="A21" s="16" t="s">
        <v>64</v>
      </c>
      <c r="B21" s="17" t="s">
        <v>65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31"/>
    <col collapsed="false" customWidth="true" hidden="false" outlineLevel="0" max="4" min="4" style="0" width="1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6"/>
    <col collapsed="false" customWidth="true" hidden="false" outlineLevel="0" max="11" min="10" style="0" width="13"/>
    <col collapsed="false" customWidth="true" hidden="false" outlineLevel="0" max="13" min="12" style="0" width="11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5"/>
    <col collapsed="false" customWidth="true" hidden="false" outlineLevel="0" max="19" min="19" style="0" width="33"/>
  </cols>
  <sheetData>
    <row r="1" customFormat="false" ht="30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2" hidden="false" customHeight="true" outlineLevel="0" collapsed="false">
      <c r="A3" s="18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18" t="s">
        <v>73</v>
      </c>
      <c r="G3" s="18" t="s">
        <v>74</v>
      </c>
      <c r="H3" s="18" t="s">
        <v>75</v>
      </c>
      <c r="I3" s="18" t="s">
        <v>76</v>
      </c>
      <c r="J3" s="18" t="s">
        <v>77</v>
      </c>
      <c r="K3" s="18" t="s">
        <v>78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</row>
    <row r="4" customFormat="false" ht="42" hidden="false" customHeight="true" outlineLevel="0" collapsed="false">
      <c r="A4" s="19" t="n">
        <v>1</v>
      </c>
      <c r="B4" s="20" t="s">
        <v>87</v>
      </c>
      <c r="C4" s="21" t="s">
        <v>88</v>
      </c>
      <c r="D4" s="22" t="s">
        <v>89</v>
      </c>
      <c r="E4" s="23" t="s">
        <v>90</v>
      </c>
      <c r="F4" s="24" t="n">
        <v>4960</v>
      </c>
      <c r="G4" s="25" t="n">
        <v>110</v>
      </c>
      <c r="H4" s="25" t="n">
        <v>140</v>
      </c>
      <c r="I4" s="26" t="n">
        <v>0.1</v>
      </c>
      <c r="J4" s="27" t="n">
        <f aca="false">F4*G4</f>
        <v>545600</v>
      </c>
      <c r="K4" s="27" t="n">
        <f aca="false">F4*H4</f>
        <v>694400</v>
      </c>
      <c r="L4" s="28" t="n">
        <f aca="false">J4*I4</f>
        <v>54560</v>
      </c>
      <c r="M4" s="28" t="n">
        <f aca="false">K4*I4</f>
        <v>69440</v>
      </c>
      <c r="N4" s="29" t="n">
        <f aca="false">J4+L4</f>
        <v>600160</v>
      </c>
      <c r="O4" s="29" t="n">
        <f aca="false">K4+M4</f>
        <v>763840</v>
      </c>
      <c r="P4" s="30" t="s">
        <v>91</v>
      </c>
      <c r="Q4" s="19" t="s">
        <v>92</v>
      </c>
      <c r="R4" s="31" t="s">
        <v>93</v>
      </c>
      <c r="S4" s="22" t="s">
        <v>94</v>
      </c>
    </row>
    <row r="5" customFormat="false" ht="42" hidden="false" customHeight="true" outlineLevel="0" collapsed="false">
      <c r="A5" s="19" t="n">
        <v>2</v>
      </c>
      <c r="B5" s="20" t="s">
        <v>87</v>
      </c>
      <c r="C5" s="21" t="s">
        <v>95</v>
      </c>
      <c r="D5" s="22" t="s">
        <v>96</v>
      </c>
      <c r="E5" s="23" t="s">
        <v>90</v>
      </c>
      <c r="F5" s="24" t="n">
        <v>5000</v>
      </c>
      <c r="G5" s="25" t="n">
        <v>35</v>
      </c>
      <c r="H5" s="25" t="n">
        <v>70</v>
      </c>
      <c r="I5" s="26" t="n">
        <v>0.1</v>
      </c>
      <c r="J5" s="27" t="n">
        <f aca="false">F5*G5</f>
        <v>175000</v>
      </c>
      <c r="K5" s="27" t="n">
        <f aca="false">F5*H5</f>
        <v>350000</v>
      </c>
      <c r="L5" s="28" t="n">
        <f aca="false">J5*I5</f>
        <v>17500</v>
      </c>
      <c r="M5" s="28" t="n">
        <f aca="false">K5*I5</f>
        <v>35000</v>
      </c>
      <c r="N5" s="29" t="n">
        <f aca="false">J5+L5</f>
        <v>192500</v>
      </c>
      <c r="O5" s="29" t="n">
        <f aca="false">K5+M5</f>
        <v>385000</v>
      </c>
      <c r="P5" s="32" t="s">
        <v>91</v>
      </c>
      <c r="Q5" s="19" t="s">
        <v>92</v>
      </c>
      <c r="R5" s="31" t="s">
        <v>97</v>
      </c>
      <c r="S5" s="22" t="s">
        <v>98</v>
      </c>
    </row>
    <row r="6" customFormat="false" ht="27.75" hidden="false" customHeight="true" outlineLevel="0" collapsed="false">
      <c r="A6" s="19" t="n">
        <v>3</v>
      </c>
      <c r="B6" s="20" t="s">
        <v>87</v>
      </c>
      <c r="C6" s="21" t="s">
        <v>99</v>
      </c>
      <c r="D6" s="22" t="s">
        <v>100</v>
      </c>
      <c r="E6" s="23" t="s">
        <v>90</v>
      </c>
      <c r="F6" s="24" t="n">
        <v>600</v>
      </c>
      <c r="G6" s="25" t="n">
        <v>90</v>
      </c>
      <c r="H6" s="25" t="n">
        <v>130</v>
      </c>
      <c r="I6" s="26" t="n">
        <v>0.1</v>
      </c>
      <c r="J6" s="27" t="n">
        <f aca="false">F6*G6</f>
        <v>54000</v>
      </c>
      <c r="K6" s="27" t="n">
        <f aca="false">F6*H6</f>
        <v>78000</v>
      </c>
      <c r="L6" s="28" t="n">
        <f aca="false">J6*I6</f>
        <v>5400</v>
      </c>
      <c r="M6" s="28" t="n">
        <f aca="false">K6*I6</f>
        <v>7800</v>
      </c>
      <c r="N6" s="29" t="n">
        <f aca="false">J6+L6</f>
        <v>59400</v>
      </c>
      <c r="O6" s="29" t="n">
        <f aca="false">K6+M6</f>
        <v>85800</v>
      </c>
      <c r="P6" s="30" t="s">
        <v>91</v>
      </c>
      <c r="Q6" s="19" t="s">
        <v>101</v>
      </c>
      <c r="R6" s="31" t="s">
        <v>93</v>
      </c>
      <c r="S6" s="22" t="s">
        <v>102</v>
      </c>
    </row>
    <row r="7" customFormat="false" ht="42" hidden="false" customHeight="true" outlineLevel="0" collapsed="false">
      <c r="A7" s="19" t="n">
        <v>4</v>
      </c>
      <c r="B7" s="20" t="s">
        <v>87</v>
      </c>
      <c r="C7" s="21" t="s">
        <v>103</v>
      </c>
      <c r="D7" s="22" t="s">
        <v>104</v>
      </c>
      <c r="E7" s="23" t="s">
        <v>105</v>
      </c>
      <c r="F7" s="24" t="n">
        <v>1</v>
      </c>
      <c r="G7" s="25" t="n">
        <v>80000</v>
      </c>
      <c r="H7" s="25" t="n">
        <v>180000</v>
      </c>
      <c r="I7" s="26" t="n">
        <v>0.08</v>
      </c>
      <c r="J7" s="27" t="n">
        <f aca="false">F7*G7</f>
        <v>80000</v>
      </c>
      <c r="K7" s="27" t="n">
        <f aca="false">F7*H7</f>
        <v>180000</v>
      </c>
      <c r="L7" s="28" t="n">
        <f aca="false">J7*I7</f>
        <v>6400</v>
      </c>
      <c r="M7" s="28" t="n">
        <f aca="false">K7*I7</f>
        <v>14400</v>
      </c>
      <c r="N7" s="29" t="n">
        <f aca="false">J7+L7</f>
        <v>86400</v>
      </c>
      <c r="O7" s="29" t="n">
        <f aca="false">K7+M7</f>
        <v>194400</v>
      </c>
      <c r="P7" s="30" t="s">
        <v>91</v>
      </c>
      <c r="Q7" s="19" t="s">
        <v>101</v>
      </c>
      <c r="R7" s="31" t="s">
        <v>93</v>
      </c>
      <c r="S7" s="22" t="s">
        <v>106</v>
      </c>
    </row>
    <row r="8" customFormat="false" ht="27.75" hidden="false" customHeight="true" outlineLevel="0" collapsed="false">
      <c r="A8" s="19" t="n">
        <v>5</v>
      </c>
      <c r="B8" s="20" t="s">
        <v>107</v>
      </c>
      <c r="C8" s="21" t="s">
        <v>108</v>
      </c>
      <c r="D8" s="22" t="s">
        <v>109</v>
      </c>
      <c r="E8" s="23" t="s">
        <v>110</v>
      </c>
      <c r="F8" s="24" t="n">
        <v>0.078</v>
      </c>
      <c r="G8" s="25" t="n">
        <v>60000</v>
      </c>
      <c r="H8" s="25" t="n">
        <v>66000</v>
      </c>
      <c r="I8" s="26" t="n">
        <v>0.12</v>
      </c>
      <c r="J8" s="27" t="n">
        <f aca="false">F8*G8</f>
        <v>4680</v>
      </c>
      <c r="K8" s="27" t="n">
        <f aca="false">F8*H8</f>
        <v>5148</v>
      </c>
      <c r="L8" s="28" t="n">
        <f aca="false">J8*I8</f>
        <v>561.6</v>
      </c>
      <c r="M8" s="28" t="n">
        <f aca="false">K8*I8</f>
        <v>617.76</v>
      </c>
      <c r="N8" s="29" t="n">
        <f aca="false">J8+L8</f>
        <v>5241.6</v>
      </c>
      <c r="O8" s="29" t="n">
        <f aca="false">K8+M8</f>
        <v>5765.76</v>
      </c>
      <c r="P8" s="30" t="s">
        <v>91</v>
      </c>
      <c r="Q8" s="19" t="s">
        <v>101</v>
      </c>
      <c r="R8" s="31" t="s">
        <v>93</v>
      </c>
      <c r="S8" s="22" t="s">
        <v>111</v>
      </c>
    </row>
    <row r="9" customFormat="false" ht="42" hidden="false" customHeight="true" outlineLevel="0" collapsed="false">
      <c r="A9" s="19" t="n">
        <v>6</v>
      </c>
      <c r="B9" s="20" t="s">
        <v>112</v>
      </c>
      <c r="C9" s="21" t="s">
        <v>113</v>
      </c>
      <c r="D9" s="22" t="s">
        <v>114</v>
      </c>
      <c r="E9" s="23" t="s">
        <v>115</v>
      </c>
      <c r="F9" s="24" t="n">
        <v>127</v>
      </c>
      <c r="G9" s="25" t="n">
        <v>35000</v>
      </c>
      <c r="H9" s="25" t="n">
        <v>52000</v>
      </c>
      <c r="I9" s="26" t="n">
        <v>0.06</v>
      </c>
      <c r="J9" s="27" t="n">
        <f aca="false">F9*G9</f>
        <v>4445000</v>
      </c>
      <c r="K9" s="27" t="n">
        <f aca="false">F9*H9</f>
        <v>6604000</v>
      </c>
      <c r="L9" s="28" t="n">
        <f aca="false">J9*I9</f>
        <v>266700</v>
      </c>
      <c r="M9" s="28" t="n">
        <f aca="false">K9*I9</f>
        <v>396240</v>
      </c>
      <c r="N9" s="29" t="n">
        <f aca="false">J9+L9</f>
        <v>4711700</v>
      </c>
      <c r="O9" s="29" t="n">
        <f aca="false">K9+M9</f>
        <v>7000240</v>
      </c>
      <c r="P9" s="33" t="s">
        <v>116</v>
      </c>
      <c r="Q9" s="19" t="s">
        <v>117</v>
      </c>
      <c r="R9" s="31" t="s">
        <v>118</v>
      </c>
      <c r="S9" s="22" t="s">
        <v>119</v>
      </c>
    </row>
    <row r="10" customFormat="false" ht="27.75" hidden="false" customHeight="true" outlineLevel="0" collapsed="false">
      <c r="A10" s="19" t="n">
        <v>7</v>
      </c>
      <c r="B10" s="20" t="s">
        <v>112</v>
      </c>
      <c r="C10" s="21" t="s">
        <v>120</v>
      </c>
      <c r="D10" s="22" t="s">
        <v>121</v>
      </c>
      <c r="E10" s="23" t="s">
        <v>115</v>
      </c>
      <c r="F10" s="24" t="n">
        <v>6</v>
      </c>
      <c r="G10" s="25" t="n">
        <v>55000</v>
      </c>
      <c r="H10" s="25" t="n">
        <v>85000</v>
      </c>
      <c r="I10" s="26" t="n">
        <v>0.06</v>
      </c>
      <c r="J10" s="27" t="n">
        <f aca="false">F10*G10</f>
        <v>330000</v>
      </c>
      <c r="K10" s="27" t="n">
        <f aca="false">F10*H10</f>
        <v>510000</v>
      </c>
      <c r="L10" s="28" t="n">
        <f aca="false">J10*I10</f>
        <v>19800</v>
      </c>
      <c r="M10" s="28" t="n">
        <f aca="false">K10*I10</f>
        <v>30600</v>
      </c>
      <c r="N10" s="29" t="n">
        <f aca="false">J10+L10</f>
        <v>349800</v>
      </c>
      <c r="O10" s="29" t="n">
        <f aca="false">K10+M10</f>
        <v>540600</v>
      </c>
      <c r="P10" s="33" t="s">
        <v>116</v>
      </c>
      <c r="Q10" s="19" t="s">
        <v>117</v>
      </c>
      <c r="R10" s="31" t="s">
        <v>118</v>
      </c>
      <c r="S10" s="22" t="s">
        <v>122</v>
      </c>
    </row>
    <row r="11" customFormat="false" ht="27.75" hidden="false" customHeight="true" outlineLevel="0" collapsed="false">
      <c r="A11" s="19" t="n">
        <v>8</v>
      </c>
      <c r="B11" s="20" t="s">
        <v>112</v>
      </c>
      <c r="C11" s="21" t="s">
        <v>123</v>
      </c>
      <c r="D11" s="22" t="s">
        <v>124</v>
      </c>
      <c r="E11" s="23" t="s">
        <v>115</v>
      </c>
      <c r="F11" s="24" t="n">
        <v>133</v>
      </c>
      <c r="G11" s="25" t="n">
        <v>3500</v>
      </c>
      <c r="H11" s="25" t="n">
        <v>8000</v>
      </c>
      <c r="I11" s="26" t="n">
        <v>0.08</v>
      </c>
      <c r="J11" s="27" t="n">
        <f aca="false">F11*G11</f>
        <v>465500</v>
      </c>
      <c r="K11" s="27" t="n">
        <f aca="false">F11*H11</f>
        <v>1064000</v>
      </c>
      <c r="L11" s="28" t="n">
        <f aca="false">J11*I11</f>
        <v>37240</v>
      </c>
      <c r="M11" s="28" t="n">
        <f aca="false">K11*I11</f>
        <v>85120</v>
      </c>
      <c r="N11" s="29" t="n">
        <f aca="false">J11+L11</f>
        <v>502740</v>
      </c>
      <c r="O11" s="29" t="n">
        <f aca="false">K11+M11</f>
        <v>1149120</v>
      </c>
      <c r="P11" s="32" t="s">
        <v>91</v>
      </c>
      <c r="Q11" s="19" t="s">
        <v>125</v>
      </c>
      <c r="R11" s="31" t="s">
        <v>97</v>
      </c>
      <c r="S11" s="22" t="s">
        <v>126</v>
      </c>
    </row>
    <row r="12" customFormat="false" ht="42" hidden="false" customHeight="true" outlineLevel="0" collapsed="false">
      <c r="A12" s="19" t="n">
        <v>9</v>
      </c>
      <c r="B12" s="20" t="s">
        <v>112</v>
      </c>
      <c r="C12" s="21" t="s">
        <v>127</v>
      </c>
      <c r="D12" s="22" t="s">
        <v>128</v>
      </c>
      <c r="E12" s="23" t="s">
        <v>115</v>
      </c>
      <c r="F12" s="24" t="n">
        <v>3</v>
      </c>
      <c r="G12" s="25" t="n">
        <v>120000</v>
      </c>
      <c r="H12" s="25" t="n">
        <v>220000</v>
      </c>
      <c r="I12" s="26" t="n">
        <v>0.06</v>
      </c>
      <c r="J12" s="27" t="n">
        <f aca="false">F12*G12</f>
        <v>360000</v>
      </c>
      <c r="K12" s="27" t="n">
        <f aca="false">F12*H12</f>
        <v>660000</v>
      </c>
      <c r="L12" s="28" t="n">
        <f aca="false">J12*I12</f>
        <v>21600</v>
      </c>
      <c r="M12" s="28" t="n">
        <f aca="false">K12*I12</f>
        <v>39600</v>
      </c>
      <c r="N12" s="29" t="n">
        <f aca="false">J12+L12</f>
        <v>381600</v>
      </c>
      <c r="O12" s="29" t="n">
        <f aca="false">K12+M12</f>
        <v>699600</v>
      </c>
      <c r="P12" s="32" t="s">
        <v>91</v>
      </c>
      <c r="Q12" s="19" t="s">
        <v>129</v>
      </c>
      <c r="R12" s="31" t="s">
        <v>97</v>
      </c>
      <c r="S12" s="22" t="s">
        <v>130</v>
      </c>
    </row>
    <row r="13" customFormat="false" ht="42" hidden="false" customHeight="true" outlineLevel="0" collapsed="false">
      <c r="A13" s="19" t="n">
        <v>10</v>
      </c>
      <c r="B13" s="20" t="s">
        <v>131</v>
      </c>
      <c r="C13" s="21" t="s">
        <v>132</v>
      </c>
      <c r="D13" s="22" t="s">
        <v>133</v>
      </c>
      <c r="E13" s="23" t="s">
        <v>115</v>
      </c>
      <c r="F13" s="24" t="n">
        <v>3</v>
      </c>
      <c r="G13" s="25" t="n">
        <v>18000</v>
      </c>
      <c r="H13" s="25" t="n">
        <v>28000</v>
      </c>
      <c r="I13" s="26" t="n">
        <v>0.1</v>
      </c>
      <c r="J13" s="27" t="n">
        <f aca="false">F13*G13</f>
        <v>54000</v>
      </c>
      <c r="K13" s="27" t="n">
        <f aca="false">F13*H13</f>
        <v>84000</v>
      </c>
      <c r="L13" s="28" t="n">
        <f aca="false">J13*I13</f>
        <v>5400</v>
      </c>
      <c r="M13" s="28" t="n">
        <f aca="false">K13*I13</f>
        <v>8400</v>
      </c>
      <c r="N13" s="29" t="n">
        <f aca="false">J13+L13</f>
        <v>59400</v>
      </c>
      <c r="O13" s="29" t="n">
        <f aca="false">K13+M13</f>
        <v>92400</v>
      </c>
      <c r="P13" s="30" t="s">
        <v>91</v>
      </c>
      <c r="Q13" s="19" t="s">
        <v>134</v>
      </c>
      <c r="R13" s="31" t="s">
        <v>93</v>
      </c>
      <c r="S13" s="22" t="s">
        <v>135</v>
      </c>
    </row>
    <row r="14" customFormat="false" ht="42" hidden="false" customHeight="true" outlineLevel="0" collapsed="false">
      <c r="A14" s="19" t="n">
        <v>11</v>
      </c>
      <c r="B14" s="20" t="s">
        <v>131</v>
      </c>
      <c r="C14" s="21" t="s">
        <v>136</v>
      </c>
      <c r="D14" s="22" t="s">
        <v>137</v>
      </c>
      <c r="E14" s="23" t="s">
        <v>115</v>
      </c>
      <c r="F14" s="24" t="n">
        <v>1</v>
      </c>
      <c r="G14" s="25" t="n">
        <v>180000</v>
      </c>
      <c r="H14" s="25" t="n">
        <v>350000</v>
      </c>
      <c r="I14" s="26" t="n">
        <v>0.12</v>
      </c>
      <c r="J14" s="27" t="n">
        <f aca="false">F14*G14</f>
        <v>180000</v>
      </c>
      <c r="K14" s="27" t="n">
        <f aca="false">F14*H14</f>
        <v>350000</v>
      </c>
      <c r="L14" s="28" t="n">
        <f aca="false">J14*I14</f>
        <v>21600</v>
      </c>
      <c r="M14" s="28" t="n">
        <f aca="false">K14*I14</f>
        <v>42000</v>
      </c>
      <c r="N14" s="29" t="n">
        <f aca="false">J14+L14</f>
        <v>201600</v>
      </c>
      <c r="O14" s="29" t="n">
        <f aca="false">K14+M14</f>
        <v>392000</v>
      </c>
      <c r="P14" s="32" t="s">
        <v>91</v>
      </c>
      <c r="Q14" s="19" t="s">
        <v>125</v>
      </c>
      <c r="R14" s="31" t="s">
        <v>97</v>
      </c>
      <c r="S14" s="22" t="s">
        <v>138</v>
      </c>
    </row>
    <row r="15" customFormat="false" ht="42" hidden="false" customHeight="true" outlineLevel="0" collapsed="false">
      <c r="A15" s="19" t="n">
        <v>12</v>
      </c>
      <c r="B15" s="20" t="s">
        <v>139</v>
      </c>
      <c r="C15" s="21" t="s">
        <v>140</v>
      </c>
      <c r="D15" s="22" t="s">
        <v>141</v>
      </c>
      <c r="E15" s="23" t="s">
        <v>105</v>
      </c>
      <c r="F15" s="24" t="n">
        <v>1</v>
      </c>
      <c r="G15" s="25" t="n">
        <v>150000</v>
      </c>
      <c r="H15" s="25" t="n">
        <v>350000</v>
      </c>
      <c r="I15" s="26" t="n">
        <v>0.1</v>
      </c>
      <c r="J15" s="27" t="n">
        <f aca="false">F15*G15</f>
        <v>150000</v>
      </c>
      <c r="K15" s="27" t="n">
        <f aca="false">F15*H15</f>
        <v>350000</v>
      </c>
      <c r="L15" s="28" t="n">
        <f aca="false">J15*I15</f>
        <v>15000</v>
      </c>
      <c r="M15" s="28" t="n">
        <f aca="false">K15*I15</f>
        <v>35000</v>
      </c>
      <c r="N15" s="29" t="n">
        <f aca="false">J15+L15</f>
        <v>165000</v>
      </c>
      <c r="O15" s="29" t="n">
        <f aca="false">K15+M15</f>
        <v>385000</v>
      </c>
      <c r="P15" s="32" t="s">
        <v>91</v>
      </c>
      <c r="Q15" s="19" t="s">
        <v>92</v>
      </c>
      <c r="R15" s="31" t="s">
        <v>97</v>
      </c>
      <c r="S15" s="22" t="s">
        <v>142</v>
      </c>
    </row>
    <row r="16" customFormat="false" ht="27.75" hidden="false" customHeight="true" outlineLevel="0" collapsed="false">
      <c r="A16" s="19" t="n">
        <v>13</v>
      </c>
      <c r="B16" s="20" t="s">
        <v>139</v>
      </c>
      <c r="C16" s="21" t="s">
        <v>143</v>
      </c>
      <c r="D16" s="22" t="s">
        <v>144</v>
      </c>
      <c r="E16" s="23" t="s">
        <v>105</v>
      </c>
      <c r="F16" s="24" t="n">
        <v>1</v>
      </c>
      <c r="G16" s="25" t="n">
        <v>100000</v>
      </c>
      <c r="H16" s="25" t="n">
        <v>250000</v>
      </c>
      <c r="I16" s="26" t="n">
        <v>0.1</v>
      </c>
      <c r="J16" s="27" t="n">
        <f aca="false">F16*G16</f>
        <v>100000</v>
      </c>
      <c r="K16" s="27" t="n">
        <f aca="false">F16*H16</f>
        <v>250000</v>
      </c>
      <c r="L16" s="28" t="n">
        <f aca="false">J16*I16</f>
        <v>10000</v>
      </c>
      <c r="M16" s="28" t="n">
        <f aca="false">K16*I16</f>
        <v>25000</v>
      </c>
      <c r="N16" s="29" t="n">
        <f aca="false">J16+L16</f>
        <v>110000</v>
      </c>
      <c r="O16" s="29" t="n">
        <f aca="false">K16+M16</f>
        <v>275000</v>
      </c>
      <c r="P16" s="32" t="s">
        <v>91</v>
      </c>
      <c r="Q16" s="19" t="s">
        <v>125</v>
      </c>
      <c r="R16" s="31" t="s">
        <v>97</v>
      </c>
      <c r="S16" s="22" t="s">
        <v>145</v>
      </c>
    </row>
    <row r="17" customFormat="false" ht="42" hidden="false" customHeight="true" outlineLevel="0" collapsed="false">
      <c r="A17" s="19" t="n">
        <v>14</v>
      </c>
      <c r="B17" s="20" t="s">
        <v>146</v>
      </c>
      <c r="C17" s="21" t="s">
        <v>147</v>
      </c>
      <c r="D17" s="22" t="s">
        <v>148</v>
      </c>
      <c r="E17" s="23" t="s">
        <v>105</v>
      </c>
      <c r="F17" s="24" t="n">
        <v>133</v>
      </c>
      <c r="G17" s="25" t="n">
        <v>1500</v>
      </c>
      <c r="H17" s="25" t="n">
        <v>3500</v>
      </c>
      <c r="I17" s="26" t="n">
        <v>0.08</v>
      </c>
      <c r="J17" s="27" t="n">
        <f aca="false">F17*G17</f>
        <v>199500</v>
      </c>
      <c r="K17" s="27" t="n">
        <f aca="false">F17*H17</f>
        <v>465500</v>
      </c>
      <c r="L17" s="28" t="n">
        <f aca="false">J17*I17</f>
        <v>15960</v>
      </c>
      <c r="M17" s="28" t="n">
        <f aca="false">K17*I17</f>
        <v>37240</v>
      </c>
      <c r="N17" s="29" t="n">
        <f aca="false">J17+L17</f>
        <v>215460</v>
      </c>
      <c r="O17" s="29" t="n">
        <f aca="false">K17+M17</f>
        <v>502740</v>
      </c>
      <c r="P17" s="30" t="s">
        <v>91</v>
      </c>
      <c r="Q17" s="19" t="s">
        <v>134</v>
      </c>
      <c r="R17" s="31" t="s">
        <v>93</v>
      </c>
      <c r="S17" s="22" t="s">
        <v>149</v>
      </c>
    </row>
    <row r="18" customFormat="false" ht="42" hidden="false" customHeight="true" outlineLevel="0" collapsed="false">
      <c r="A18" s="19" t="n">
        <v>15</v>
      </c>
      <c r="B18" s="20" t="s">
        <v>150</v>
      </c>
      <c r="C18" s="21" t="s">
        <v>151</v>
      </c>
      <c r="D18" s="22" t="s">
        <v>152</v>
      </c>
      <c r="E18" s="23" t="s">
        <v>115</v>
      </c>
      <c r="F18" s="24" t="n">
        <v>2</v>
      </c>
      <c r="G18" s="25" t="n">
        <v>35000</v>
      </c>
      <c r="H18" s="25" t="n">
        <v>60000</v>
      </c>
      <c r="I18" s="26" t="n">
        <v>0.1</v>
      </c>
      <c r="J18" s="27" t="n">
        <f aca="false">F18*G18</f>
        <v>70000</v>
      </c>
      <c r="K18" s="27" t="n">
        <f aca="false">F18*H18</f>
        <v>120000</v>
      </c>
      <c r="L18" s="28" t="n">
        <f aca="false">J18*I18</f>
        <v>7000</v>
      </c>
      <c r="M18" s="28" t="n">
        <f aca="false">K18*I18</f>
        <v>12000</v>
      </c>
      <c r="N18" s="29" t="n">
        <f aca="false">J18+L18</f>
        <v>77000</v>
      </c>
      <c r="O18" s="29" t="n">
        <f aca="false">K18+M18</f>
        <v>132000</v>
      </c>
      <c r="P18" s="30" t="s">
        <v>91</v>
      </c>
      <c r="Q18" s="19" t="s">
        <v>153</v>
      </c>
      <c r="R18" s="31" t="s">
        <v>93</v>
      </c>
      <c r="S18" s="22" t="s">
        <v>154</v>
      </c>
    </row>
    <row r="19" customFormat="false" ht="42" hidden="false" customHeight="true" outlineLevel="0" collapsed="false">
      <c r="A19" s="19" t="n">
        <v>16</v>
      </c>
      <c r="B19" s="20" t="s">
        <v>150</v>
      </c>
      <c r="C19" s="21" t="s">
        <v>155</v>
      </c>
      <c r="D19" s="22" t="s">
        <v>156</v>
      </c>
      <c r="E19" s="23" t="s">
        <v>115</v>
      </c>
      <c r="F19" s="24" t="n">
        <v>2</v>
      </c>
      <c r="G19" s="25" t="n">
        <v>4000</v>
      </c>
      <c r="H19" s="25" t="n">
        <v>9000</v>
      </c>
      <c r="I19" s="26" t="n">
        <v>0.1</v>
      </c>
      <c r="J19" s="27" t="n">
        <f aca="false">F19*G19</f>
        <v>8000</v>
      </c>
      <c r="K19" s="27" t="n">
        <f aca="false">F19*H19</f>
        <v>18000</v>
      </c>
      <c r="L19" s="28" t="n">
        <f aca="false">J19*I19</f>
        <v>800</v>
      </c>
      <c r="M19" s="28" t="n">
        <f aca="false">K19*I19</f>
        <v>1800</v>
      </c>
      <c r="N19" s="29" t="n">
        <f aca="false">J19+L19</f>
        <v>8800</v>
      </c>
      <c r="O19" s="29" t="n">
        <f aca="false">K19+M19</f>
        <v>19800</v>
      </c>
      <c r="P19" s="30" t="s">
        <v>91</v>
      </c>
      <c r="Q19" s="19" t="s">
        <v>157</v>
      </c>
      <c r="R19" s="31" t="s">
        <v>93</v>
      </c>
      <c r="S19" s="22" t="s">
        <v>158</v>
      </c>
    </row>
    <row r="20" customFormat="false" ht="55.5" hidden="false" customHeight="true" outlineLevel="0" collapsed="false">
      <c r="A20" s="19" t="n">
        <v>17</v>
      </c>
      <c r="B20" s="20" t="s">
        <v>159</v>
      </c>
      <c r="C20" s="21" t="s">
        <v>160</v>
      </c>
      <c r="D20" s="22" t="s">
        <v>161</v>
      </c>
      <c r="E20" s="23" t="s">
        <v>105</v>
      </c>
      <c r="F20" s="24" t="n">
        <v>1</v>
      </c>
      <c r="G20" s="25" t="n">
        <v>1200000</v>
      </c>
      <c r="H20" s="25" t="n">
        <v>1600000</v>
      </c>
      <c r="I20" s="26" t="n">
        <v>0.03</v>
      </c>
      <c r="J20" s="27" t="n">
        <f aca="false">F20*G20</f>
        <v>1200000</v>
      </c>
      <c r="K20" s="27" t="n">
        <f aca="false">F20*H20</f>
        <v>1600000</v>
      </c>
      <c r="L20" s="28" t="n">
        <f aca="false">J20*I20</f>
        <v>36000</v>
      </c>
      <c r="M20" s="28" t="n">
        <f aca="false">K20*I20</f>
        <v>48000</v>
      </c>
      <c r="N20" s="29" t="n">
        <f aca="false">J20+L20</f>
        <v>1236000</v>
      </c>
      <c r="O20" s="29" t="n">
        <f aca="false">K20+M20</f>
        <v>1648000</v>
      </c>
      <c r="P20" s="32" t="s">
        <v>162</v>
      </c>
      <c r="Q20" s="19" t="s">
        <v>163</v>
      </c>
      <c r="R20" s="31" t="s">
        <v>97</v>
      </c>
      <c r="S20" s="22" t="s">
        <v>164</v>
      </c>
    </row>
    <row r="21" customFormat="false" ht="15" hidden="false" customHeight="false" outlineLevel="0" collapsed="false">
      <c r="A21" s="34" t="s">
        <v>165</v>
      </c>
      <c r="B21" s="34"/>
      <c r="C21" s="34"/>
      <c r="D21" s="34"/>
      <c r="E21" s="34"/>
      <c r="F21" s="34"/>
      <c r="G21" s="34"/>
      <c r="H21" s="34"/>
      <c r="I21" s="34"/>
      <c r="J21" s="35" t="n">
        <f aca="false">SUMIF(P4:P20,"НАША",J4:J20)+SUMIF(P4:P20,"НАША-СКЗИ",J4:J20)</f>
        <v>3646280</v>
      </c>
      <c r="K21" s="35" t="n">
        <f aca="false">SUMIF(P4:P20,"НАША",K4:K20)+SUMIF(P4:P20,"НАША-СКЗИ",K4:K20)</f>
        <v>6269048</v>
      </c>
      <c r="L21" s="36" t="n">
        <f aca="false">SUMIF(P4:P20,"НАША",L4:L20)+SUMIF(P4:P20,"НАША-СКЗИ",L4:L20)</f>
        <v>255021.6</v>
      </c>
      <c r="M21" s="36" t="n">
        <f aca="false">SUMIF(P4:P20,"НАША",M4:M20)+SUMIF(P4:P20,"НАША-СКЗИ",M4:M20)</f>
        <v>461417.76</v>
      </c>
      <c r="N21" s="35" t="n">
        <f aca="false">SUMIF(P4:P20,"НАША",N4:N20)+SUMIF(P4:P20,"НАША-СКЗИ",N4:N20)</f>
        <v>3901301.6</v>
      </c>
      <c r="O21" s="35" t="n">
        <f aca="false">SUMIF(P4:P20,"НАША",O4:O20)+SUMIF(P4:P20,"НАША-СКЗИ",O4:O20)</f>
        <v>6730465.76</v>
      </c>
      <c r="P21" s="37"/>
      <c r="Q21" s="37"/>
      <c r="R21" s="37"/>
      <c r="S21" s="37"/>
    </row>
    <row r="22" customFormat="false" ht="15" hidden="false" customHeight="false" outlineLevel="0" collapsed="false">
      <c r="A22" s="38" t="s">
        <v>166</v>
      </c>
      <c r="B22" s="38"/>
      <c r="C22" s="38"/>
      <c r="D22" s="38"/>
      <c r="E22" s="38"/>
      <c r="F22" s="38"/>
      <c r="G22" s="38"/>
      <c r="H22" s="38"/>
      <c r="I22" s="38"/>
      <c r="J22" s="39" t="n">
        <f aca="false">SUMIF(P4:P20,"УТОЧНИТЬ",J4:J20)</f>
        <v>4775000</v>
      </c>
      <c r="K22" s="39" t="n">
        <f aca="false">SUMIF(P4:P20,"УТОЧНИТЬ",K4:K20)</f>
        <v>7114000</v>
      </c>
      <c r="L22" s="40" t="n">
        <f aca="false">SUMIF(P4:P20,"УТОЧНИТЬ",L4:L20)</f>
        <v>286500</v>
      </c>
      <c r="M22" s="40" t="n">
        <f aca="false">SUMIF(P4:P20,"УТОЧНИТЬ",M4:M20)</f>
        <v>426840</v>
      </c>
      <c r="N22" s="39" t="n">
        <f aca="false">SUMIF(P4:P20,"УТОЧНИТЬ",N4:N20)</f>
        <v>5061500</v>
      </c>
      <c r="O22" s="39" t="n">
        <f aca="false">SUMIF(P4:P20,"УТОЧНИТЬ",O4:O20)</f>
        <v>7540840</v>
      </c>
      <c r="P22" s="41"/>
      <c r="Q22" s="41"/>
      <c r="R22" s="41"/>
      <c r="S22" s="41"/>
    </row>
    <row r="23" customFormat="false" ht="15" hidden="false" customHeight="false" outlineLevel="0" collapsed="false">
      <c r="A23" s="42" t="s">
        <v>167</v>
      </c>
      <c r="B23" s="42"/>
      <c r="C23" s="42"/>
      <c r="D23" s="42"/>
      <c r="E23" s="42"/>
      <c r="F23" s="42"/>
      <c r="G23" s="42"/>
      <c r="H23" s="42"/>
      <c r="I23" s="42"/>
      <c r="J23" s="43" t="n">
        <f aca="false">SUM(J4:J20)</f>
        <v>8421280</v>
      </c>
      <c r="K23" s="43" t="n">
        <f aca="false">SUM(K4:K20)</f>
        <v>13383048</v>
      </c>
      <c r="L23" s="43" t="n">
        <f aca="false">SUM(L4:L20)</f>
        <v>541521.6</v>
      </c>
      <c r="M23" s="43" t="n">
        <f aca="false">SUM(M4:M20)</f>
        <v>888257.76</v>
      </c>
      <c r="N23" s="43" t="n">
        <f aca="false">SUM(N4:N20)</f>
        <v>8962801.6</v>
      </c>
      <c r="O23" s="43" t="n">
        <f aca="false">SUM(O4:O20)</f>
        <v>14271305.76</v>
      </c>
      <c r="P23" s="44"/>
      <c r="Q23" s="44"/>
      <c r="R23" s="44"/>
      <c r="S23" s="44"/>
    </row>
    <row r="24" customFormat="false" ht="15" hidden="false" customHeight="false" outlineLevel="0" collapsed="false">
      <c r="A24" s="45" t="s">
        <v>168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6" t="n">
        <f aca="false">SUM(L4:L20)</f>
        <v>541521.6</v>
      </c>
      <c r="M24" s="46" t="n">
        <f aca="false">SUM(M4:M20)</f>
        <v>888257.76</v>
      </c>
      <c r="N24" s="47"/>
      <c r="O24" s="47"/>
      <c r="P24" s="47"/>
      <c r="Q24" s="47"/>
      <c r="R24" s="47"/>
      <c r="S24" s="47"/>
    </row>
    <row r="26" customFormat="false" ht="15" hidden="false" customHeight="true" outlineLevel="0" collapsed="false">
      <c r="A26" s="13" t="s">
        <v>169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199" customFormat="false" ht="15" hidden="false" customHeight="false" outlineLevel="0" collapsed="false">
      <c r="A199" s="48" t="s">
        <v>170</v>
      </c>
    </row>
    <row r="200" customFormat="false" ht="15" hidden="false" customHeight="false" outlineLevel="0" collapsed="false">
      <c r="I200" s="49" t="str">
        <f aca="false">TEXT(N21,"#,##0")&amp;" ₽"</f>
        <v>3,901,302 ₽</v>
      </c>
      <c r="J200" s="49" t="str">
        <f aca="false">TEXT(O21,"#,##0")&amp;" ₽"</f>
        <v>6,730,466 ₽</v>
      </c>
    </row>
    <row r="201" customFormat="false" ht="15" hidden="false" customHeight="false" outlineLevel="0" collapsed="false">
      <c r="I201" s="49" t="str">
        <f aca="false">TEXT(N22,"#,##0")&amp;" ₽"</f>
        <v>5,061,500 ₽</v>
      </c>
      <c r="J201" s="49" t="str">
        <f aca="false">TEXT(O22,"#,##0")&amp;" ₽"</f>
        <v>7,540,840 ₽</v>
      </c>
    </row>
  </sheetData>
  <mergeCells count="7">
    <mergeCell ref="A1:S1"/>
    <mergeCell ref="A2:S2"/>
    <mergeCell ref="A21:I21"/>
    <mergeCell ref="A22:I22"/>
    <mergeCell ref="A23:I23"/>
    <mergeCell ref="A24:K24"/>
    <mergeCell ref="A26:S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8" t="s">
        <v>68</v>
      </c>
      <c r="B3" s="8" t="s">
        <v>173</v>
      </c>
      <c r="C3" s="8" t="s">
        <v>174</v>
      </c>
      <c r="D3" s="8" t="s">
        <v>175</v>
      </c>
      <c r="E3" s="8" t="s">
        <v>176</v>
      </c>
      <c r="F3" s="8" t="s">
        <v>83</v>
      </c>
      <c r="G3" s="8" t="s">
        <v>177</v>
      </c>
      <c r="H3" s="8" t="s">
        <v>178</v>
      </c>
    </row>
    <row r="4" customFormat="false" ht="42" hidden="false" customHeight="true" outlineLevel="0" collapsed="false">
      <c r="A4" s="50" t="s">
        <v>179</v>
      </c>
      <c r="B4" s="21" t="s">
        <v>180</v>
      </c>
      <c r="C4" s="23" t="s">
        <v>181</v>
      </c>
      <c r="D4" s="23" t="s">
        <v>117</v>
      </c>
      <c r="E4" s="50" t="s">
        <v>182</v>
      </c>
      <c r="F4" s="50" t="s">
        <v>116</v>
      </c>
      <c r="G4" s="51" t="s">
        <v>183</v>
      </c>
      <c r="H4" s="22" t="s">
        <v>184</v>
      </c>
    </row>
    <row r="5" customFormat="false" ht="42" hidden="false" customHeight="true" outlineLevel="0" collapsed="false">
      <c r="A5" s="50" t="s">
        <v>185</v>
      </c>
      <c r="B5" s="21" t="s">
        <v>186</v>
      </c>
      <c r="C5" s="23" t="s">
        <v>187</v>
      </c>
      <c r="D5" s="23" t="s">
        <v>163</v>
      </c>
      <c r="E5" s="50" t="s">
        <v>188</v>
      </c>
      <c r="F5" s="50" t="s">
        <v>162</v>
      </c>
      <c r="G5" s="52" t="s">
        <v>189</v>
      </c>
      <c r="H5" s="22" t="s">
        <v>190</v>
      </c>
    </row>
    <row r="6" customFormat="false" ht="42" hidden="false" customHeight="true" outlineLevel="0" collapsed="false">
      <c r="A6" s="50" t="s">
        <v>191</v>
      </c>
      <c r="B6" s="21" t="s">
        <v>192</v>
      </c>
      <c r="C6" s="23" t="s">
        <v>193</v>
      </c>
      <c r="D6" s="23" t="s">
        <v>194</v>
      </c>
      <c r="E6" s="50" t="s">
        <v>195</v>
      </c>
      <c r="F6" s="50" t="s">
        <v>196</v>
      </c>
      <c r="G6" s="51" t="s">
        <v>197</v>
      </c>
      <c r="H6" s="22" t="s">
        <v>198</v>
      </c>
    </row>
    <row r="7" customFormat="false" ht="27.75" hidden="false" customHeight="true" outlineLevel="0" collapsed="false">
      <c r="A7" s="50" t="s">
        <v>199</v>
      </c>
      <c r="B7" s="21" t="s">
        <v>200</v>
      </c>
      <c r="C7" s="23" t="s">
        <v>201</v>
      </c>
      <c r="D7" s="23" t="s">
        <v>125</v>
      </c>
      <c r="E7" s="50" t="s">
        <v>202</v>
      </c>
      <c r="F7" s="50" t="s">
        <v>91</v>
      </c>
      <c r="G7" s="52" t="s">
        <v>189</v>
      </c>
      <c r="H7" s="22" t="s">
        <v>203</v>
      </c>
    </row>
    <row r="8" customFormat="false" ht="27.75" hidden="false" customHeight="true" outlineLevel="0" collapsed="false">
      <c r="A8" s="50" t="s">
        <v>204</v>
      </c>
      <c r="B8" s="21" t="s">
        <v>205</v>
      </c>
      <c r="C8" s="23" t="s">
        <v>206</v>
      </c>
      <c r="D8" s="23" t="s">
        <v>92</v>
      </c>
      <c r="E8" s="50" t="s">
        <v>207</v>
      </c>
      <c r="F8" s="50" t="s">
        <v>91</v>
      </c>
      <c r="G8" s="53" t="s">
        <v>208</v>
      </c>
      <c r="H8" s="22" t="s">
        <v>209</v>
      </c>
    </row>
    <row r="9" customFormat="false" ht="27.75" hidden="false" customHeight="true" outlineLevel="0" collapsed="false">
      <c r="A9" s="50" t="s">
        <v>210</v>
      </c>
      <c r="B9" s="21" t="s">
        <v>211</v>
      </c>
      <c r="C9" s="23" t="s">
        <v>212</v>
      </c>
      <c r="D9" s="23" t="s">
        <v>92</v>
      </c>
      <c r="E9" s="50" t="s">
        <v>207</v>
      </c>
      <c r="F9" s="50" t="s">
        <v>91</v>
      </c>
      <c r="G9" s="53" t="s">
        <v>208</v>
      </c>
      <c r="H9" s="22" t="s">
        <v>213</v>
      </c>
    </row>
    <row r="10" customFormat="false" ht="27.75" hidden="false" customHeight="true" outlineLevel="0" collapsed="false">
      <c r="A10" s="50" t="s">
        <v>214</v>
      </c>
      <c r="B10" s="21" t="s">
        <v>215</v>
      </c>
      <c r="C10" s="23" t="s">
        <v>216</v>
      </c>
      <c r="D10" s="23" t="s">
        <v>217</v>
      </c>
      <c r="E10" s="50" t="s">
        <v>218</v>
      </c>
      <c r="F10" s="50" t="s">
        <v>91</v>
      </c>
      <c r="G10" s="53" t="s">
        <v>208</v>
      </c>
      <c r="H10" s="22" t="s">
        <v>219</v>
      </c>
    </row>
    <row r="11" customFormat="false" ht="27.75" hidden="false" customHeight="true" outlineLevel="0" collapsed="false">
      <c r="A11" s="50" t="s">
        <v>220</v>
      </c>
      <c r="B11" s="21" t="s">
        <v>221</v>
      </c>
      <c r="C11" s="23" t="s">
        <v>222</v>
      </c>
      <c r="D11" s="23" t="s">
        <v>223</v>
      </c>
      <c r="E11" s="50" t="s">
        <v>224</v>
      </c>
      <c r="F11" s="50" t="s">
        <v>91</v>
      </c>
      <c r="G11" s="52" t="s">
        <v>189</v>
      </c>
      <c r="H11" s="22" t="s">
        <v>225</v>
      </c>
    </row>
    <row r="12" customFormat="false" ht="15" hidden="false" customHeight="true" outlineLevel="0" collapsed="false">
      <c r="A12" s="13" t="s">
        <v>226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</row>
  </sheetData>
  <mergeCells count="3">
    <mergeCell ref="A1:H1"/>
    <mergeCell ref="A2:H2"/>
    <mergeCell ref="A12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228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8" t="s">
        <v>229</v>
      </c>
      <c r="B3" s="8" t="s">
        <v>230</v>
      </c>
      <c r="C3" s="8" t="s">
        <v>231</v>
      </c>
      <c r="D3" s="8" t="s">
        <v>232</v>
      </c>
      <c r="E3" s="8" t="s">
        <v>233</v>
      </c>
      <c r="F3" s="8" t="s">
        <v>234</v>
      </c>
      <c r="G3" s="8" t="s">
        <v>84</v>
      </c>
      <c r="H3" s="8" t="s">
        <v>235</v>
      </c>
    </row>
    <row r="4" customFormat="false" ht="15" hidden="false" customHeight="false" outlineLevel="0" collapsed="false">
      <c r="A4" s="54" t="s">
        <v>236</v>
      </c>
      <c r="B4" s="55" t="s">
        <v>237</v>
      </c>
      <c r="C4" s="56" t="s">
        <v>238</v>
      </c>
      <c r="D4" s="57" t="s">
        <v>239</v>
      </c>
      <c r="E4" s="58" t="s">
        <v>89</v>
      </c>
      <c r="F4" s="56" t="s">
        <v>240</v>
      </c>
      <c r="G4" s="56" t="s">
        <v>92</v>
      </c>
      <c r="H4" s="59" t="s">
        <v>241</v>
      </c>
    </row>
    <row r="5" customFormat="false" ht="15" hidden="false" customHeight="false" outlineLevel="0" collapsed="false">
      <c r="A5" s="21" t="s">
        <v>236</v>
      </c>
      <c r="B5" s="60" t="s">
        <v>242</v>
      </c>
      <c r="C5" s="23" t="s">
        <v>243</v>
      </c>
      <c r="D5" s="61" t="s">
        <v>244</v>
      </c>
      <c r="E5" s="22" t="s">
        <v>89</v>
      </c>
      <c r="F5" s="23" t="s">
        <v>240</v>
      </c>
      <c r="G5" s="23" t="s">
        <v>92</v>
      </c>
      <c r="H5" s="62" t="s">
        <v>245</v>
      </c>
    </row>
    <row r="6" customFormat="false" ht="15" hidden="false" customHeight="false" outlineLevel="0" collapsed="false">
      <c r="A6" s="54" t="s">
        <v>236</v>
      </c>
      <c r="B6" s="55" t="s">
        <v>246</v>
      </c>
      <c r="C6" s="56" t="s">
        <v>247</v>
      </c>
      <c r="D6" s="57" t="s">
        <v>248</v>
      </c>
      <c r="E6" s="58" t="s">
        <v>249</v>
      </c>
      <c r="F6" s="56" t="s">
        <v>240</v>
      </c>
      <c r="G6" s="56" t="s">
        <v>101</v>
      </c>
      <c r="H6" s="59" t="s">
        <v>250</v>
      </c>
    </row>
    <row r="7" customFormat="false" ht="15" hidden="false" customHeight="false" outlineLevel="0" collapsed="false">
      <c r="A7" s="21" t="s">
        <v>251</v>
      </c>
      <c r="B7" s="60" t="s">
        <v>252</v>
      </c>
      <c r="C7" s="23" t="s">
        <v>253</v>
      </c>
      <c r="D7" s="61" t="s">
        <v>254</v>
      </c>
      <c r="E7" s="22" t="s">
        <v>255</v>
      </c>
      <c r="F7" s="23" t="s">
        <v>256</v>
      </c>
      <c r="G7" s="23" t="s">
        <v>92</v>
      </c>
      <c r="H7" s="62" t="s">
        <v>257</v>
      </c>
    </row>
    <row r="8" customFormat="false" ht="15" hidden="false" customHeight="false" outlineLevel="0" collapsed="false">
      <c r="A8" s="54" t="s">
        <v>258</v>
      </c>
      <c r="B8" s="55" t="s">
        <v>259</v>
      </c>
      <c r="C8" s="56" t="s">
        <v>260</v>
      </c>
      <c r="D8" s="57" t="s">
        <v>261</v>
      </c>
      <c r="E8" s="58" t="s">
        <v>262</v>
      </c>
      <c r="F8" s="56" t="s">
        <v>263</v>
      </c>
      <c r="G8" s="56" t="s">
        <v>134</v>
      </c>
      <c r="H8" s="59" t="s">
        <v>264</v>
      </c>
    </row>
    <row r="9" customFormat="false" ht="15" hidden="false" customHeight="false" outlineLevel="0" collapsed="false">
      <c r="A9" s="21" t="s">
        <v>258</v>
      </c>
      <c r="B9" s="60" t="s">
        <v>265</v>
      </c>
      <c r="C9" s="23" t="s">
        <v>266</v>
      </c>
      <c r="D9" s="61" t="s">
        <v>261</v>
      </c>
      <c r="E9" s="22" t="s">
        <v>267</v>
      </c>
      <c r="F9" s="23" t="s">
        <v>263</v>
      </c>
      <c r="G9" s="23" t="s">
        <v>92</v>
      </c>
      <c r="H9" s="62" t="s">
        <v>268</v>
      </c>
    </row>
    <row r="10" customFormat="false" ht="15" hidden="false" customHeight="false" outlineLevel="0" collapsed="false">
      <c r="A10" s="54" t="s">
        <v>269</v>
      </c>
      <c r="B10" s="55" t="s">
        <v>270</v>
      </c>
      <c r="C10" s="56" t="s">
        <v>271</v>
      </c>
      <c r="D10" s="57" t="s">
        <v>272</v>
      </c>
      <c r="E10" s="58" t="s">
        <v>100</v>
      </c>
      <c r="F10" s="56" t="s">
        <v>273</v>
      </c>
      <c r="G10" s="56" t="s">
        <v>101</v>
      </c>
      <c r="H10" s="59" t="s">
        <v>274</v>
      </c>
    </row>
    <row r="11" customFormat="false" ht="15" hidden="false" customHeight="false" outlineLevel="0" collapsed="false">
      <c r="A11" s="21" t="s">
        <v>269</v>
      </c>
      <c r="B11" s="60" t="s">
        <v>275</v>
      </c>
      <c r="C11" s="23" t="s">
        <v>271</v>
      </c>
      <c r="D11" s="61" t="s">
        <v>272</v>
      </c>
      <c r="E11" s="22" t="s">
        <v>100</v>
      </c>
      <c r="F11" s="23" t="s">
        <v>273</v>
      </c>
      <c r="G11" s="23" t="s">
        <v>101</v>
      </c>
      <c r="H11" s="62" t="s">
        <v>276</v>
      </c>
    </row>
    <row r="12" customFormat="false" ht="15" hidden="false" customHeight="false" outlineLevel="0" collapsed="false">
      <c r="A12" s="54" t="s">
        <v>277</v>
      </c>
      <c r="B12" s="55" t="s">
        <v>278</v>
      </c>
      <c r="C12" s="56" t="s">
        <v>260</v>
      </c>
      <c r="D12" s="57" t="s">
        <v>279</v>
      </c>
      <c r="E12" s="58" t="s">
        <v>280</v>
      </c>
      <c r="F12" s="56" t="s">
        <v>273</v>
      </c>
      <c r="G12" s="56" t="s">
        <v>117</v>
      </c>
      <c r="H12" s="59" t="s">
        <v>281</v>
      </c>
    </row>
    <row r="13" customFormat="false" ht="15" hidden="false" customHeight="false" outlineLevel="0" collapsed="false">
      <c r="A13" s="21" t="s">
        <v>277</v>
      </c>
      <c r="B13" s="60" t="s">
        <v>282</v>
      </c>
      <c r="C13" s="23" t="s">
        <v>260</v>
      </c>
      <c r="D13" s="61" t="s">
        <v>283</v>
      </c>
      <c r="E13" s="22" t="s">
        <v>284</v>
      </c>
      <c r="F13" s="23" t="s">
        <v>273</v>
      </c>
      <c r="G13" s="23" t="s">
        <v>117</v>
      </c>
      <c r="H13" s="62" t="s">
        <v>285</v>
      </c>
    </row>
    <row r="14" customFormat="false" ht="15" hidden="false" customHeight="false" outlineLevel="0" collapsed="false">
      <c r="A14" s="54" t="s">
        <v>277</v>
      </c>
      <c r="B14" s="55" t="s">
        <v>286</v>
      </c>
      <c r="C14" s="56" t="s">
        <v>287</v>
      </c>
      <c r="D14" s="57" t="s">
        <v>288</v>
      </c>
      <c r="E14" s="58" t="s">
        <v>289</v>
      </c>
      <c r="F14" s="56" t="s">
        <v>263</v>
      </c>
      <c r="G14" s="56" t="s">
        <v>117</v>
      </c>
      <c r="H14" s="59" t="s">
        <v>290</v>
      </c>
    </row>
    <row r="15" customFormat="false" ht="15" hidden="false" customHeight="false" outlineLevel="0" collapsed="false">
      <c r="A15" s="21" t="s">
        <v>291</v>
      </c>
      <c r="B15" s="60" t="s">
        <v>292</v>
      </c>
      <c r="C15" s="23" t="s">
        <v>260</v>
      </c>
      <c r="D15" s="61" t="s">
        <v>283</v>
      </c>
      <c r="E15" s="22" t="s">
        <v>293</v>
      </c>
      <c r="F15" s="23" t="s">
        <v>273</v>
      </c>
      <c r="G15" s="23" t="s">
        <v>134</v>
      </c>
      <c r="H15" s="62" t="s">
        <v>294</v>
      </c>
    </row>
    <row r="16" customFormat="false" ht="15" hidden="false" customHeight="false" outlineLevel="0" collapsed="false">
      <c r="A16" s="54" t="s">
        <v>291</v>
      </c>
      <c r="B16" s="55" t="s">
        <v>295</v>
      </c>
      <c r="C16" s="56" t="s">
        <v>296</v>
      </c>
      <c r="D16" s="57" t="s">
        <v>297</v>
      </c>
      <c r="E16" s="58" t="s">
        <v>293</v>
      </c>
      <c r="F16" s="56" t="s">
        <v>263</v>
      </c>
      <c r="G16" s="56" t="s">
        <v>134</v>
      </c>
      <c r="H16" s="59" t="s">
        <v>298</v>
      </c>
    </row>
    <row r="17" customFormat="false" ht="22.35" hidden="false" customHeight="false" outlineLevel="0" collapsed="false">
      <c r="A17" s="21" t="s">
        <v>299</v>
      </c>
      <c r="B17" s="60" t="s">
        <v>300</v>
      </c>
      <c r="C17" s="23" t="s">
        <v>301</v>
      </c>
      <c r="D17" s="61" t="s">
        <v>302</v>
      </c>
      <c r="E17" s="22" t="s">
        <v>303</v>
      </c>
      <c r="F17" s="23" t="s">
        <v>304</v>
      </c>
      <c r="G17" s="23" t="s">
        <v>125</v>
      </c>
      <c r="H17" s="62" t="s">
        <v>305</v>
      </c>
    </row>
    <row r="18" customFormat="false" ht="15" hidden="false" customHeight="false" outlineLevel="0" collapsed="false">
      <c r="A18" s="54" t="s">
        <v>299</v>
      </c>
      <c r="B18" s="55" t="s">
        <v>306</v>
      </c>
      <c r="C18" s="56" t="s">
        <v>247</v>
      </c>
      <c r="D18" s="57" t="s">
        <v>307</v>
      </c>
      <c r="E18" s="58" t="s">
        <v>308</v>
      </c>
      <c r="F18" s="56" t="s">
        <v>304</v>
      </c>
      <c r="G18" s="56" t="s">
        <v>125</v>
      </c>
      <c r="H18" s="59" t="s">
        <v>309</v>
      </c>
    </row>
    <row r="19" customFormat="false" ht="15" hidden="false" customHeight="false" outlineLevel="0" collapsed="false">
      <c r="A19" s="21" t="s">
        <v>310</v>
      </c>
      <c r="B19" s="60" t="s">
        <v>311</v>
      </c>
      <c r="C19" s="23" t="s">
        <v>247</v>
      </c>
      <c r="D19" s="61" t="s">
        <v>312</v>
      </c>
      <c r="E19" s="22" t="s">
        <v>313</v>
      </c>
      <c r="F19" s="23" t="s">
        <v>314</v>
      </c>
      <c r="G19" s="23" t="s">
        <v>163</v>
      </c>
      <c r="H19" s="62" t="s">
        <v>315</v>
      </c>
    </row>
    <row r="20" customFormat="false" ht="15" hidden="false" customHeight="false" outlineLevel="0" collapsed="false">
      <c r="A20" s="54" t="s">
        <v>310</v>
      </c>
      <c r="B20" s="55" t="s">
        <v>316</v>
      </c>
      <c r="C20" s="56" t="s">
        <v>247</v>
      </c>
      <c r="D20" s="57" t="s">
        <v>317</v>
      </c>
      <c r="E20" s="58" t="s">
        <v>318</v>
      </c>
      <c r="F20" s="56" t="s">
        <v>319</v>
      </c>
      <c r="G20" s="56" t="s">
        <v>163</v>
      </c>
      <c r="H20" s="59" t="s">
        <v>320</v>
      </c>
    </row>
    <row r="21" customFormat="false" ht="15" hidden="false" customHeight="true" outlineLevel="0" collapsed="false">
      <c r="A21" s="13" t="s">
        <v>321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</row>
  </sheetData>
  <mergeCells count="3">
    <mergeCell ref="A1:H1"/>
    <mergeCell ref="A2:H2"/>
    <mergeCell ref="A21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323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3" t="s">
        <v>324</v>
      </c>
      <c r="B4" s="63"/>
      <c r="C4" s="63"/>
      <c r="D4" s="63"/>
      <c r="E4" s="63"/>
      <c r="F4" s="63"/>
      <c r="G4" s="63"/>
    </row>
    <row r="5" customFormat="false" ht="69.75" hidden="false" customHeight="true" outlineLevel="0" collapsed="false">
      <c r="A5" s="5" t="s">
        <v>325</v>
      </c>
      <c r="B5" s="5"/>
      <c r="C5" s="5"/>
      <c r="D5" s="5"/>
      <c r="E5" s="5"/>
      <c r="F5" s="5"/>
      <c r="G5" s="5"/>
    </row>
    <row r="7" customFormat="false" ht="27.75" hidden="false" customHeight="true" outlineLevel="0" collapsed="false">
      <c r="A7" s="8" t="s">
        <v>326</v>
      </c>
      <c r="B7" s="8" t="s">
        <v>327</v>
      </c>
      <c r="C7" s="8" t="s">
        <v>328</v>
      </c>
      <c r="D7" s="8" t="s">
        <v>329</v>
      </c>
      <c r="E7" s="8" t="s">
        <v>330</v>
      </c>
      <c r="F7" s="8" t="s">
        <v>331</v>
      </c>
      <c r="G7" s="8" t="s">
        <v>332</v>
      </c>
    </row>
    <row r="8" customFormat="false" ht="19.4" hidden="false" customHeight="false" outlineLevel="0" collapsed="false">
      <c r="A8" s="21" t="s">
        <v>333</v>
      </c>
      <c r="B8" s="23" t="s">
        <v>334</v>
      </c>
      <c r="C8" s="64" t="n">
        <v>15000</v>
      </c>
      <c r="D8" s="27" t="n">
        <f aca="false">$C8*202</f>
        <v>3030000</v>
      </c>
      <c r="E8" s="27" t="n">
        <f aca="false">$H8*202</f>
        <v>8080000</v>
      </c>
      <c r="F8" s="22" t="s">
        <v>335</v>
      </c>
      <c r="G8" s="65" t="s">
        <v>336</v>
      </c>
      <c r="H8" s="66" t="n">
        <v>40000</v>
      </c>
    </row>
    <row r="9" customFormat="false" ht="15" hidden="false" customHeight="false" outlineLevel="0" collapsed="false">
      <c r="A9" s="21" t="s">
        <v>337</v>
      </c>
      <c r="B9" s="23" t="s">
        <v>185</v>
      </c>
      <c r="C9" s="64" t="n">
        <v>1500000</v>
      </c>
      <c r="D9" s="27" t="n">
        <f aca="false">$C9*2</f>
        <v>3000000</v>
      </c>
      <c r="E9" s="27" t="n">
        <f aca="false">$H9*2</f>
        <v>7000000</v>
      </c>
      <c r="F9" s="22" t="s">
        <v>338</v>
      </c>
      <c r="G9" s="65" t="s">
        <v>336</v>
      </c>
      <c r="H9" s="66" t="n">
        <v>3500000</v>
      </c>
    </row>
    <row r="10" customFormat="false" ht="22.35" hidden="false" customHeight="false" outlineLevel="0" collapsed="false">
      <c r="A10" s="21" t="s">
        <v>339</v>
      </c>
      <c r="B10" s="23" t="s">
        <v>220</v>
      </c>
      <c r="C10" s="64" t="n">
        <v>1000000</v>
      </c>
      <c r="D10" s="27" t="n">
        <f aca="false">$C10*8</f>
        <v>8000000</v>
      </c>
      <c r="E10" s="27" t="n">
        <f aca="false">$H10*8</f>
        <v>24000000</v>
      </c>
      <c r="F10" s="22" t="s">
        <v>338</v>
      </c>
      <c r="G10" s="65" t="s">
        <v>340</v>
      </c>
      <c r="H10" s="66" t="n">
        <v>3000000</v>
      </c>
    </row>
    <row r="11" customFormat="false" ht="15" hidden="false" customHeight="false" outlineLevel="0" collapsed="false">
      <c r="A11" s="21" t="s">
        <v>341</v>
      </c>
      <c r="B11" s="23" t="s">
        <v>220</v>
      </c>
      <c r="C11" s="64" t="n">
        <v>50000</v>
      </c>
      <c r="D11" s="27" t="n">
        <f aca="false">$C11*8</f>
        <v>400000</v>
      </c>
      <c r="E11" s="27" t="n">
        <f aca="false">$H11*8</f>
        <v>1200000</v>
      </c>
      <c r="F11" s="22" t="s">
        <v>338</v>
      </c>
      <c r="G11" s="65" t="s">
        <v>336</v>
      </c>
      <c r="H11" s="66" t="n">
        <v>150000</v>
      </c>
    </row>
    <row r="12" customFormat="false" ht="15" hidden="false" customHeight="false" outlineLevel="0" collapsed="false">
      <c r="A12" s="21" t="s">
        <v>342</v>
      </c>
      <c r="B12" s="23" t="s">
        <v>343</v>
      </c>
      <c r="C12" s="64" t="n">
        <v>30000</v>
      </c>
      <c r="D12" s="27" t="n">
        <f aca="false">$C12*36</f>
        <v>1080000</v>
      </c>
      <c r="E12" s="27" t="n">
        <f aca="false">$H12*36</f>
        <v>4320000</v>
      </c>
      <c r="F12" s="22" t="s">
        <v>338</v>
      </c>
      <c r="G12" s="65" t="s">
        <v>336</v>
      </c>
      <c r="H12" s="66" t="n">
        <v>120000</v>
      </c>
    </row>
    <row r="13" customFormat="false" ht="15" hidden="false" customHeight="false" outlineLevel="0" collapsed="false">
      <c r="A13" s="21" t="s">
        <v>344</v>
      </c>
      <c r="B13" s="23" t="s">
        <v>179</v>
      </c>
      <c r="C13" s="64" t="n">
        <v>300000</v>
      </c>
      <c r="D13" s="27" t="n">
        <f aca="false">$C13*1</f>
        <v>300000</v>
      </c>
      <c r="E13" s="27" t="n">
        <f aca="false">$H13*1</f>
        <v>1000000</v>
      </c>
      <c r="F13" s="22" t="s">
        <v>338</v>
      </c>
      <c r="G13" s="65" t="s">
        <v>336</v>
      </c>
      <c r="H13" s="66" t="n">
        <v>1000000</v>
      </c>
    </row>
    <row r="14" customFormat="false" ht="15" hidden="false" customHeight="false" outlineLevel="0" collapsed="false">
      <c r="A14" s="67" t="s">
        <v>345</v>
      </c>
      <c r="B14" s="67"/>
      <c r="C14" s="67"/>
      <c r="D14" s="68" t="n">
        <f aca="false">SUM(D8:D13)</f>
        <v>15810000</v>
      </c>
      <c r="E14" s="68" t="n">
        <f aca="false">SUM(E8:E13)</f>
        <v>45600000</v>
      </c>
      <c r="F14" s="44"/>
      <c r="G14" s="44"/>
    </row>
    <row r="16" customFormat="false" ht="15" hidden="false" customHeight="false" outlineLevel="0" collapsed="false">
      <c r="A16" s="69" t="s">
        <v>346</v>
      </c>
      <c r="B16" s="69"/>
      <c r="C16" s="69"/>
      <c r="D16" s="69"/>
      <c r="E16" s="69"/>
      <c r="F16" s="69"/>
      <c r="G16" s="69"/>
    </row>
    <row r="17" customFormat="false" ht="69.75" hidden="false" customHeight="true" outlineLevel="0" collapsed="false">
      <c r="A17" s="70" t="s">
        <v>347</v>
      </c>
      <c r="B17" s="70"/>
      <c r="C17" s="5" t="s">
        <v>348</v>
      </c>
      <c r="D17" s="5"/>
      <c r="E17" s="5"/>
      <c r="F17" s="5"/>
      <c r="G17" s="50" t="s">
        <v>349</v>
      </c>
    </row>
    <row r="18" customFormat="false" ht="55.5" hidden="false" customHeight="true" outlineLevel="0" collapsed="false">
      <c r="A18" s="70" t="s">
        <v>350</v>
      </c>
      <c r="B18" s="70"/>
      <c r="C18" s="5" t="s">
        <v>351</v>
      </c>
      <c r="D18" s="5"/>
      <c r="E18" s="5"/>
      <c r="F18" s="5"/>
      <c r="G18" s="50" t="s">
        <v>352</v>
      </c>
    </row>
    <row r="19" customFormat="false" ht="42" hidden="false" customHeight="true" outlineLevel="0" collapsed="false">
      <c r="A19" s="70" t="s">
        <v>353</v>
      </c>
      <c r="B19" s="70"/>
      <c r="C19" s="5" t="s">
        <v>354</v>
      </c>
      <c r="D19" s="5"/>
      <c r="E19" s="5"/>
      <c r="F19" s="5"/>
      <c r="G19" s="50" t="s">
        <v>355</v>
      </c>
    </row>
    <row r="21" customFormat="false" ht="19.4" hidden="false" customHeight="true" outlineLevel="0" collapsed="false">
      <c r="A21" s="71" t="s">
        <v>356</v>
      </c>
      <c r="B21" s="71"/>
      <c r="C21" s="71"/>
      <c r="D21" s="71"/>
      <c r="E21" s="71"/>
      <c r="F21" s="71"/>
      <c r="G21" s="71"/>
    </row>
    <row r="22" customFormat="false" ht="15" hidden="false" customHeight="false" outlineLevel="0" collapsed="false">
      <c r="A22" s="72"/>
      <c r="B22" s="72"/>
      <c r="C22" s="72"/>
      <c r="D22" s="72"/>
      <c r="E22" s="72"/>
      <c r="F22" s="72"/>
      <c r="G22" s="72"/>
    </row>
    <row r="29" customFormat="false" ht="15" hidden="false" customHeight="false" outlineLevel="0" collapsed="false">
      <c r="F29" s="48" t="s">
        <v>357</v>
      </c>
    </row>
    <row r="30" customFormat="false" ht="15" hidden="false" customHeight="false" outlineLevel="0" collapsed="false">
      <c r="F30" s="0" t="str">
        <f aca="false">TEXT(SUM(D8:D13),"#,##0")&amp;" ₽"</f>
        <v>15,810,000 ₽</v>
      </c>
      <c r="G30" s="0" t="str">
        <f aca="false">TEXT(SUM(E8:E13),"#,##0")&amp;" ₽"</f>
        <v>45,600,000 ₽</v>
      </c>
    </row>
  </sheetData>
  <mergeCells count="13">
    <mergeCell ref="A1:G1"/>
    <mergeCell ref="A2:G2"/>
    <mergeCell ref="A4:G4"/>
    <mergeCell ref="A5:G5"/>
    <mergeCell ref="A14:C14"/>
    <mergeCell ref="A16:G16"/>
    <mergeCell ref="A17:B17"/>
    <mergeCell ref="C17:F17"/>
    <mergeCell ref="A18:B18"/>
    <mergeCell ref="C18:F18"/>
    <mergeCell ref="A19:B19"/>
    <mergeCell ref="C19:F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358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359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8" t="s">
        <v>360</v>
      </c>
      <c r="B3" s="8" t="s">
        <v>361</v>
      </c>
      <c r="C3" s="8" t="s">
        <v>362</v>
      </c>
      <c r="D3" s="8" t="s">
        <v>363</v>
      </c>
      <c r="E3" s="8" t="s">
        <v>177</v>
      </c>
      <c r="F3" s="8" t="s">
        <v>16</v>
      </c>
    </row>
    <row r="4" customFormat="false" ht="27.75" hidden="false" customHeight="true" outlineLevel="0" collapsed="false">
      <c r="A4" s="21" t="s">
        <v>364</v>
      </c>
      <c r="B4" s="23" t="s">
        <v>365</v>
      </c>
      <c r="C4" s="23" t="s">
        <v>212</v>
      </c>
      <c r="D4" s="50" t="s">
        <v>366</v>
      </c>
      <c r="E4" s="73" t="s">
        <v>93</v>
      </c>
      <c r="F4" s="22" t="s">
        <v>367</v>
      </c>
    </row>
    <row r="5" customFormat="false" ht="27.75" hidden="false" customHeight="true" outlineLevel="0" collapsed="false">
      <c r="A5" s="21" t="s">
        <v>368</v>
      </c>
      <c r="B5" s="23" t="s">
        <v>369</v>
      </c>
      <c r="C5" s="23" t="s">
        <v>370</v>
      </c>
      <c r="D5" s="50" t="s">
        <v>371</v>
      </c>
      <c r="E5" s="74" t="s">
        <v>118</v>
      </c>
      <c r="F5" s="22" t="s">
        <v>372</v>
      </c>
    </row>
    <row r="6" customFormat="false" ht="27.75" hidden="false" customHeight="true" outlineLevel="0" collapsed="false">
      <c r="A6" s="21" t="s">
        <v>373</v>
      </c>
      <c r="B6" s="23" t="s">
        <v>374</v>
      </c>
      <c r="C6" s="23" t="s">
        <v>375</v>
      </c>
      <c r="D6" s="50" t="s">
        <v>376</v>
      </c>
      <c r="E6" s="74" t="s">
        <v>118</v>
      </c>
      <c r="F6" s="22" t="s">
        <v>377</v>
      </c>
    </row>
    <row r="7" customFormat="false" ht="27.75" hidden="false" customHeight="true" outlineLevel="0" collapsed="false">
      <c r="A7" s="21" t="s">
        <v>378</v>
      </c>
      <c r="B7" s="23" t="s">
        <v>379</v>
      </c>
      <c r="C7" s="23" t="s">
        <v>187</v>
      </c>
      <c r="D7" s="50" t="s">
        <v>380</v>
      </c>
      <c r="E7" s="75" t="s">
        <v>97</v>
      </c>
      <c r="F7" s="22" t="s">
        <v>381</v>
      </c>
    </row>
    <row r="8" customFormat="false" ht="27.75" hidden="false" customHeight="true" outlineLevel="0" collapsed="false">
      <c r="A8" s="21" t="s">
        <v>382</v>
      </c>
      <c r="B8" s="23" t="s">
        <v>365</v>
      </c>
      <c r="C8" s="23" t="s">
        <v>216</v>
      </c>
      <c r="D8" s="50" t="s">
        <v>383</v>
      </c>
      <c r="E8" s="73" t="s">
        <v>93</v>
      </c>
      <c r="F8" s="22" t="s">
        <v>384</v>
      </c>
    </row>
    <row r="9" customFormat="false" ht="27.75" hidden="false" customHeight="true" outlineLevel="0" collapsed="false">
      <c r="A9" s="21" t="s">
        <v>385</v>
      </c>
      <c r="B9" s="23" t="s">
        <v>386</v>
      </c>
      <c r="C9" s="23" t="s">
        <v>387</v>
      </c>
      <c r="D9" s="50" t="s">
        <v>388</v>
      </c>
      <c r="E9" s="73" t="s">
        <v>93</v>
      </c>
      <c r="F9" s="22" t="s">
        <v>389</v>
      </c>
    </row>
    <row r="10" customFormat="false" ht="27.75" hidden="false" customHeight="true" outlineLevel="0" collapsed="false">
      <c r="A10" s="21" t="s">
        <v>390</v>
      </c>
      <c r="B10" s="23" t="s">
        <v>391</v>
      </c>
      <c r="C10" s="23" t="s">
        <v>392</v>
      </c>
      <c r="D10" s="50" t="s">
        <v>393</v>
      </c>
      <c r="E10" s="74" t="s">
        <v>118</v>
      </c>
      <c r="F10" s="22" t="s">
        <v>394</v>
      </c>
    </row>
    <row r="11" customFormat="false" ht="15" hidden="false" customHeight="true" outlineLevel="0" collapsed="false">
      <c r="A11" s="76" t="s">
        <v>395</v>
      </c>
      <c r="B11" s="76"/>
      <c r="C11" s="76"/>
      <c r="D11" s="76"/>
      <c r="E11" s="76"/>
      <c r="F11" s="76"/>
    </row>
    <row r="12" customFormat="false" ht="15" hidden="false" customHeight="false" outlineLevel="0" collapsed="false">
      <c r="A12" s="76"/>
      <c r="B12" s="76"/>
      <c r="C12" s="76"/>
      <c r="D12" s="76"/>
      <c r="E12" s="76"/>
      <c r="F12" s="76"/>
    </row>
    <row r="13" customFormat="false" ht="15" hidden="false" customHeight="false" outlineLevel="0" collapsed="false">
      <c r="A13" s="76"/>
      <c r="B13" s="76"/>
      <c r="C13" s="76"/>
      <c r="D13" s="76"/>
      <c r="E13" s="76"/>
      <c r="F13" s="76"/>
    </row>
  </sheetData>
  <mergeCells count="3">
    <mergeCell ref="A1:F1"/>
    <mergeCell ref="A2:F2"/>
    <mergeCell ref="A11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396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397</v>
      </c>
      <c r="B2" s="2"/>
      <c r="C2" s="2"/>
      <c r="D2" s="2"/>
      <c r="E2" s="2"/>
    </row>
    <row r="3" customFormat="false" ht="22.35" hidden="false" customHeight="false" outlineLevel="0" collapsed="false">
      <c r="A3" s="8" t="s">
        <v>398</v>
      </c>
      <c r="B3" s="8" t="s">
        <v>399</v>
      </c>
      <c r="C3" s="8" t="s">
        <v>178</v>
      </c>
      <c r="D3" s="8" t="s">
        <v>400</v>
      </c>
      <c r="E3" s="8" t="s">
        <v>401</v>
      </c>
    </row>
    <row r="4" customFormat="false" ht="42" hidden="false" customHeight="true" outlineLevel="0" collapsed="false">
      <c r="A4" s="50" t="s">
        <v>402</v>
      </c>
      <c r="B4" s="74" t="s">
        <v>118</v>
      </c>
      <c r="C4" s="60" t="s">
        <v>403</v>
      </c>
      <c r="D4" s="21" t="s">
        <v>404</v>
      </c>
      <c r="E4" s="60" t="s">
        <v>405</v>
      </c>
    </row>
    <row r="5" customFormat="false" ht="42" hidden="false" customHeight="true" outlineLevel="0" collapsed="false">
      <c r="A5" s="50" t="s">
        <v>402</v>
      </c>
      <c r="B5" s="74" t="s">
        <v>118</v>
      </c>
      <c r="C5" s="60" t="s">
        <v>406</v>
      </c>
      <c r="D5" s="21" t="s">
        <v>407</v>
      </c>
      <c r="E5" s="60" t="s">
        <v>408</v>
      </c>
    </row>
    <row r="6" customFormat="false" ht="42" hidden="false" customHeight="true" outlineLevel="0" collapsed="false">
      <c r="A6" s="50" t="s">
        <v>402</v>
      </c>
      <c r="B6" s="74" t="s">
        <v>118</v>
      </c>
      <c r="C6" s="60" t="s">
        <v>409</v>
      </c>
      <c r="D6" s="21" t="s">
        <v>410</v>
      </c>
      <c r="E6" s="60" t="s">
        <v>411</v>
      </c>
    </row>
    <row r="7" customFormat="false" ht="27.75" hidden="false" customHeight="true" outlineLevel="0" collapsed="false">
      <c r="A7" s="50" t="s">
        <v>412</v>
      </c>
      <c r="B7" s="75" t="s">
        <v>97</v>
      </c>
      <c r="C7" s="60" t="s">
        <v>413</v>
      </c>
      <c r="D7" s="21" t="s">
        <v>414</v>
      </c>
      <c r="E7" s="60" t="s">
        <v>415</v>
      </c>
    </row>
    <row r="8" customFormat="false" ht="27.75" hidden="false" customHeight="true" outlineLevel="0" collapsed="false">
      <c r="A8" s="50" t="s">
        <v>412</v>
      </c>
      <c r="B8" s="75" t="s">
        <v>97</v>
      </c>
      <c r="C8" s="60" t="s">
        <v>416</v>
      </c>
      <c r="D8" s="21" t="s">
        <v>417</v>
      </c>
      <c r="E8" s="60" t="s">
        <v>418</v>
      </c>
    </row>
    <row r="9" customFormat="false" ht="27.75" hidden="false" customHeight="true" outlineLevel="0" collapsed="false">
      <c r="A9" s="50" t="s">
        <v>419</v>
      </c>
      <c r="B9" s="75" t="s">
        <v>97</v>
      </c>
      <c r="C9" s="60" t="s">
        <v>420</v>
      </c>
      <c r="D9" s="21" t="s">
        <v>414</v>
      </c>
      <c r="E9" s="60" t="s">
        <v>421</v>
      </c>
    </row>
    <row r="10" customFormat="false" ht="27.75" hidden="false" customHeight="true" outlineLevel="0" collapsed="false">
      <c r="A10" s="50" t="s">
        <v>419</v>
      </c>
      <c r="B10" s="75" t="s">
        <v>97</v>
      </c>
      <c r="C10" s="60" t="s">
        <v>422</v>
      </c>
      <c r="D10" s="21" t="s">
        <v>407</v>
      </c>
      <c r="E10" s="60" t="s">
        <v>423</v>
      </c>
    </row>
    <row r="11" customFormat="false" ht="27.75" hidden="false" customHeight="true" outlineLevel="0" collapsed="false">
      <c r="A11" s="50" t="s">
        <v>424</v>
      </c>
      <c r="B11" s="73" t="s">
        <v>93</v>
      </c>
      <c r="C11" s="60" t="s">
        <v>425</v>
      </c>
      <c r="D11" s="21" t="s">
        <v>414</v>
      </c>
      <c r="E11" s="60" t="s">
        <v>426</v>
      </c>
    </row>
    <row r="12" customFormat="false" ht="27.75" hidden="false" customHeight="true" outlineLevel="0" collapsed="false">
      <c r="A12" s="50" t="s">
        <v>427</v>
      </c>
      <c r="B12" s="74" t="s">
        <v>118</v>
      </c>
      <c r="C12" s="60" t="s">
        <v>428</v>
      </c>
      <c r="D12" s="21" t="s">
        <v>417</v>
      </c>
      <c r="E12" s="60" t="s">
        <v>429</v>
      </c>
    </row>
    <row r="13" customFormat="false" ht="27.75" hidden="false" customHeight="true" outlineLevel="0" collapsed="false">
      <c r="A13" s="50" t="s">
        <v>430</v>
      </c>
      <c r="B13" s="74" t="s">
        <v>118</v>
      </c>
      <c r="C13" s="60" t="s">
        <v>431</v>
      </c>
      <c r="D13" s="21" t="s">
        <v>432</v>
      </c>
      <c r="E13" s="60" t="s">
        <v>433</v>
      </c>
    </row>
    <row r="14" customFormat="false" ht="27.75" hidden="false" customHeight="true" outlineLevel="0" collapsed="false">
      <c r="A14" s="50" t="s">
        <v>434</v>
      </c>
      <c r="B14" s="77" t="s">
        <v>435</v>
      </c>
      <c r="C14" s="60" t="s">
        <v>436</v>
      </c>
      <c r="D14" s="21" t="s">
        <v>432</v>
      </c>
      <c r="E14" s="60" t="s">
        <v>437</v>
      </c>
    </row>
    <row r="16" customFormat="false" ht="15" hidden="false" customHeight="false" outlineLevel="0" collapsed="false">
      <c r="A16" s="69" t="s">
        <v>438</v>
      </c>
      <c r="B16" s="69"/>
      <c r="C16" s="69"/>
      <c r="D16" s="69"/>
      <c r="E16" s="69"/>
    </row>
    <row r="17" customFormat="false" ht="15" hidden="false" customHeight="true" outlineLevel="0" collapsed="false">
      <c r="A17" s="8" t="s">
        <v>68</v>
      </c>
      <c r="B17" s="8" t="s">
        <v>439</v>
      </c>
      <c r="C17" s="8" t="s">
        <v>440</v>
      </c>
      <c r="D17" s="8"/>
      <c r="E17" s="8" t="s">
        <v>441</v>
      </c>
    </row>
    <row r="18" customFormat="false" ht="42" hidden="false" customHeight="true" outlineLevel="0" collapsed="false">
      <c r="A18" s="50" t="s">
        <v>179</v>
      </c>
      <c r="B18" s="78" t="s">
        <v>442</v>
      </c>
      <c r="C18" s="60" t="s">
        <v>443</v>
      </c>
      <c r="D18" s="60"/>
      <c r="E18" s="60" t="s">
        <v>444</v>
      </c>
    </row>
    <row r="19" customFormat="false" ht="42" hidden="false" customHeight="true" outlineLevel="0" collapsed="false">
      <c r="A19" s="50" t="s">
        <v>185</v>
      </c>
      <c r="B19" s="78" t="s">
        <v>442</v>
      </c>
      <c r="C19" s="60" t="s">
        <v>445</v>
      </c>
      <c r="D19" s="60"/>
      <c r="E19" s="60" t="s">
        <v>446</v>
      </c>
    </row>
    <row r="20" customFormat="false" ht="42" hidden="false" customHeight="true" outlineLevel="0" collapsed="false">
      <c r="A20" s="50" t="s">
        <v>191</v>
      </c>
      <c r="B20" s="79" t="s">
        <v>447</v>
      </c>
      <c r="C20" s="60" t="s">
        <v>448</v>
      </c>
      <c r="D20" s="60"/>
      <c r="E20" s="60" t="s">
        <v>449</v>
      </c>
    </row>
    <row r="21" customFormat="false" ht="42" hidden="false" customHeight="true" outlineLevel="0" collapsed="false">
      <c r="A21" s="50" t="s">
        <v>199</v>
      </c>
      <c r="B21" s="79" t="s">
        <v>447</v>
      </c>
      <c r="C21" s="60" t="s">
        <v>450</v>
      </c>
      <c r="D21" s="60"/>
      <c r="E21" s="60" t="s">
        <v>451</v>
      </c>
    </row>
    <row r="22" customFormat="false" ht="27.75" hidden="false" customHeight="true" outlineLevel="0" collapsed="false">
      <c r="A22" s="50" t="s">
        <v>204</v>
      </c>
      <c r="B22" s="79" t="s">
        <v>447</v>
      </c>
      <c r="C22" s="60" t="s">
        <v>452</v>
      </c>
      <c r="D22" s="60"/>
      <c r="E22" s="60" t="s">
        <v>453</v>
      </c>
    </row>
    <row r="23" customFormat="false" ht="27.75" hidden="false" customHeight="true" outlineLevel="0" collapsed="false">
      <c r="A23" s="50" t="s">
        <v>210</v>
      </c>
      <c r="B23" s="80" t="s">
        <v>454</v>
      </c>
      <c r="C23" s="60" t="s">
        <v>455</v>
      </c>
      <c r="D23" s="60"/>
      <c r="E23" s="60" t="s">
        <v>456</v>
      </c>
    </row>
    <row r="24" customFormat="false" ht="27.75" hidden="false" customHeight="true" outlineLevel="0" collapsed="false">
      <c r="A24" s="50" t="s">
        <v>214</v>
      </c>
      <c r="B24" s="80" t="s">
        <v>454</v>
      </c>
      <c r="C24" s="60" t="s">
        <v>457</v>
      </c>
      <c r="D24" s="60"/>
      <c r="E24" s="60" t="s">
        <v>458</v>
      </c>
    </row>
  </sheetData>
  <mergeCells count="11">
    <mergeCell ref="A1:E1"/>
    <mergeCell ref="A2:E2"/>
    <mergeCell ref="A16:E16"/>
    <mergeCell ref="C17:D17"/>
    <mergeCell ref="C18:D18"/>
    <mergeCell ref="C19:D19"/>
    <mergeCell ref="C20:D20"/>
    <mergeCell ref="C21:D21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30" hidden="false" customHeight="true" outlineLevel="0" collapsed="false">
      <c r="A1" s="1" t="s">
        <v>459</v>
      </c>
      <c r="B1" s="1"/>
    </row>
    <row r="2" customFormat="false" ht="25.5" hidden="false" customHeight="true" outlineLevel="0" collapsed="false">
      <c r="A2" s="2" t="s">
        <v>460</v>
      </c>
      <c r="B2" s="2"/>
    </row>
    <row r="4" customFormat="false" ht="42" hidden="false" customHeight="true" outlineLevel="0" collapsed="false">
      <c r="A4" s="81" t="s">
        <v>461</v>
      </c>
      <c r="B4" s="82" t="s">
        <v>462</v>
      </c>
    </row>
    <row r="5" customFormat="false" ht="42" hidden="false" customHeight="true" outlineLevel="0" collapsed="false">
      <c r="A5" s="81" t="s">
        <v>463</v>
      </c>
      <c r="B5" s="82" t="s">
        <v>464</v>
      </c>
    </row>
    <row r="6" customFormat="false" ht="42" hidden="false" customHeight="true" outlineLevel="0" collapsed="false">
      <c r="A6" s="81" t="s">
        <v>465</v>
      </c>
      <c r="B6" s="82" t="s">
        <v>466</v>
      </c>
    </row>
    <row r="7" customFormat="false" ht="42" hidden="false" customHeight="true" outlineLevel="0" collapsed="false">
      <c r="A7" s="81" t="s">
        <v>467</v>
      </c>
      <c r="B7" s="82" t="s">
        <v>468</v>
      </c>
    </row>
    <row r="8" customFormat="false" ht="42" hidden="false" customHeight="true" outlineLevel="0" collapsed="false">
      <c r="A8" s="81" t="s">
        <v>469</v>
      </c>
      <c r="B8" s="82" t="s">
        <v>470</v>
      </c>
    </row>
    <row r="9" customFormat="false" ht="42" hidden="false" customHeight="true" outlineLevel="0" collapsed="false">
      <c r="A9" s="81" t="s">
        <v>471</v>
      </c>
      <c r="B9" s="82" t="s">
        <v>472</v>
      </c>
    </row>
    <row r="10" customFormat="false" ht="42" hidden="false" customHeight="true" outlineLevel="0" collapsed="false">
      <c r="A10" s="81" t="s">
        <v>473</v>
      </c>
      <c r="B10" s="82" t="s">
        <v>474</v>
      </c>
    </row>
    <row r="11" customFormat="false" ht="42" hidden="false" customHeight="true" outlineLevel="0" collapsed="false">
      <c r="A11" s="81" t="s">
        <v>475</v>
      </c>
      <c r="B11" s="82" t="s">
        <v>476</v>
      </c>
    </row>
    <row r="12" customFormat="false" ht="19.4" hidden="false" customHeight="true" outlineLevel="0" collapsed="false">
      <c r="A12" s="83" t="s">
        <v>477</v>
      </c>
      <c r="B12" s="83"/>
    </row>
  </sheetData>
  <mergeCells count="3">
    <mergeCell ref="A1:B1"/>
    <mergeCell ref="A2:B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2026-08-03T17:02:52Z</dcterms:created>
  <dc:creator>openpyxl</dc:creator>
  <dc:description/>
  <dc:language>en-US</dc:language>
  <cp:lastModifiedBy/>
  <dcterms:modified xsi:type="dcterms:W3CDTF">2026-08-03T17:02:52Z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