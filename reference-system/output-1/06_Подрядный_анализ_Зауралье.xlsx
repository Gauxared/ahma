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Резюме_Заключение" sheetId="1" state="visible" r:id="rId3"/>
    <sheet name="01_Ведомость_распред" sheetId="2" state="visible" r:id="rId4"/>
    <sheet name="02_Карта_пакетов" sheetId="3" state="visible" r:id="rId5"/>
    <sheet name="03_Отбор_СОТ" sheetId="4" state="visible" r:id="rId6"/>
    <sheet name="04_Отбор_ЭОМ" sheetId="5" state="visible" r:id="rId7"/>
    <sheet name="05_Блок_КС_ЭЧ" sheetId="6" state="visible" r:id="rId8"/>
    <sheet name="06_Спецтехника" sheetId="7" state="visible" r:id="rId9"/>
    <sheet name="07_Реестр_кандидатов" sheetId="8" state="visible" r:id="rId10"/>
    <sheet name="08_Влияние_на_маржу" sheetId="9" state="visible" r:id="rId11"/>
    <sheet name="09_Разбор_рисков_запас" sheetId="10" state="visible" r:id="rId12"/>
    <sheet name="10_Первоочередные_действия" sheetId="11" state="visible" r:id="rId13"/>
    <sheet name="11_Передачи_смежникам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<sst xmlns="http://schemas.openxmlformats.org/spreadsheetml/2006/main" count="512" uniqueCount="421">
  <si>
    <t xml:space="preserve">СТРОЙИНТЕЛЛЕКТ.ПОДРЯД v8.2 · ИИ-ПОДРЯДЧИК · ПОДРЯДНЫЙ АРТЕФАКТ (ПО ПОЗИЦИЯМ)</t>
  </si>
  <si>
    <t xml:space="preserve">ЖДПП «Зауралье» — СОТ + ЭОМ · ст. Зауралье, 76 км · Половинский р-н · Курганская обл. · SI-2026-KRG-ZAU-СОТ · Такт 3б · 03.08.2026</t>
  </si>
  <si>
    <t xml:space="preserve">ЗАКЛЮЧЕНИЕ ИИ-ПОДРЯДЧИКА — 4 СТРОКИ</t>
  </si>
  <si>
    <t xml:space="preserve">🟡 БЕРЁМ В ПРОРАБОТКУ, НО РЕАЛЬНЫЙ ПОДРЯДНЫЙ ФРОНТ — НЕ 105 МЛН, А ~37 МЛН. Блок «вынос КС» 64,71 млн ИИ-ГИП и ИИ-сметчик вернули (воздух). Значит скорить открытый рынок по нему НЕЛЬЗЯ. Мой реальный фронт субподряда (сценарий Б) — СМР+монтаж ЭОМ (без блока КС) + монтаж СОТ + ПНР/спецпроверки ≈ 37,15 млн ₽.</t>
  </si>
  <si>
    <t xml:space="preserve">🔴 КС 27,5 кВ — НЕ ОТКРЫТЫЙ РЫНОК. Если РЖД письменно подтвердит вынос — работы делает ТОЛЬКО бригада ЭЧ (дистанция электроснабжения ЮУЖД) в «окна», под нарядом-допуском. Внешний субподряд на КС под напряжением недопустим. До ответа РЖД — пакет П-4 заблокирован, отбор не запускаю.</t>
  </si>
  <si>
    <t xml:space="preserve">🟡 СОТ — КАТЕГОРИРОВАННЫЙ ОБЪЕКТ ФСБ. Монтажник обязан иметь лицензию ФСБ (гостайна) + ФСТЭК (ТЗКИ). Это резко сужает рынок. Нашёл живого регионального кандидата с такими лицензиями — СБ «Парсек» (Курган). Оборудование СОТ — давальческое (согласен с ИИ-снабженцем), наш объём = монтаж 11,09 млн.</t>
  </si>
  <si>
    <t xml:space="preserve">🟢 ДИСКОНТ В РУБЛЯХ. На реальных ~37 млн работ дисконт 5–7% = +1,9–2,6 млн ₽ к тонкой марже объекта. На объекте с красной линией 5% это критический рычаг. НО демпинг на ж/д + ФСБ-объекте запрещён — качество дороже 3% экономии.</t>
  </si>
  <si>
    <t xml:space="preserve">КЛЮЧЕВЫЕ ЦИФРЫ ПОДРЯДА (₽) — источник: ЛСР ИИ-сметчика + рынок 03.08.2026</t>
  </si>
  <si>
    <t xml:space="preserve">Показатель</t>
  </si>
  <si>
    <t xml:space="preserve">Сумма, ₽</t>
  </si>
  <si>
    <t xml:space="preserve">Статус</t>
  </si>
  <si>
    <t xml:space="preserve">Комментарий / источник</t>
  </si>
  <si>
    <t xml:space="preserve">НМЦК (потолок цены) с НДS 20%</t>
  </si>
  <si>
    <t xml:space="preserve">🟡</t>
  </si>
  <si>
    <t xml:space="preserve">ССРСС; НДС факт.22% (ФЗ 425-ФЗ) — недобор 2,14 млн</t>
  </si>
  <si>
    <t xml:space="preserve">Гл.1-9 без НДС (= сумма 4 ЛСР)</t>
  </si>
  <si>
    <t xml:space="preserve">—</t>
  </si>
  <si>
    <t xml:space="preserve">база; источник ССРСС / ИИ-сметчик</t>
  </si>
  <si>
    <t xml:space="preserve">❌ Блок «вынос КС» — ВОЗВРАЩЁН (воздух)</t>
  </si>
  <si>
    <t xml:space="preserve">🔴</t>
  </si>
  <si>
    <t xml:space="preserve">ИИ-ГИП+ИИ-сметчик: 198 км при физике ~17 км; не мой рынок → ЭЧ РЖД</t>
  </si>
  <si>
    <t xml:space="preserve">✅ Реальный подрядный фронт (сценарий Б)</t>
  </si>
  <si>
    <t xml:space="preserve">🟢</t>
  </si>
  <si>
    <t xml:space="preserve">мой рабочий объём субподряда — лист 01/02</t>
  </si>
  <si>
    <t xml:space="preserve">  из них П-1 ЭОМ (СМР+монтаж без КС)</t>
  </si>
  <si>
    <t xml:space="preserve">опоры, СИП, заземление, ГНБ — лист 02/04</t>
  </si>
  <si>
    <t xml:space="preserve">  из них П-2 СОТ (монтаж, оборуд давальч.)</t>
  </si>
  <si>
    <t xml:space="preserve">слаботочка + лицензия ФСБ/ФСТЭК — лист 02/03</t>
  </si>
  <si>
    <t xml:space="preserve">  из них П-3 ПНР+СП/СИ ФСБ</t>
  </si>
  <si>
    <t xml:space="preserve">ПНР 890 670 (дубль снять) + спецпроверки 354 583</t>
  </si>
  <si>
    <t xml:space="preserve">Целевой дисконт 5–7% (в рублях)</t>
  </si>
  <si>
    <t xml:space="preserve">5–7% от 37,15 млн = +1,86–2,60 млн к марже — лист 08</t>
  </si>
  <si>
    <t xml:space="preserve">Условный П-4 «вынос КС» (если РЖД да)</t>
  </si>
  <si>
    <t xml:space="preserve">ТОЛЬКО бригада ЭЧ ЮУЖД в «окна» — лист 05</t>
  </si>
  <si>
    <t xml:space="preserve">КАРТА ФАЙЛА</t>
  </si>
  <si>
    <t xml:space="preserve">01_Ведомость_распред ⭐</t>
  </si>
  <si>
    <t xml:space="preserve">Стартовый документ: свои силы vs субподряд по пакетам</t>
  </si>
  <si>
    <t xml:space="preserve">02_Карта_пакетов ⭐</t>
  </si>
  <si>
    <t xml:space="preserve">Пакеты П-1…П-4: объём, потолок из ЛСР, кандидат, статус</t>
  </si>
  <si>
    <t xml:space="preserve">03_Отбор_СОТ ⭐</t>
  </si>
  <si>
    <t xml:space="preserve">3 кандидата монтажа СОТ (реальные компании) + матрица</t>
  </si>
  <si>
    <t xml:space="preserve">04_Отбор_ЭОМ</t>
  </si>
  <si>
    <t xml:space="preserve">3 кандидата электромонтажа 0,4 кВ + опоры</t>
  </si>
  <si>
    <t xml:space="preserve">05_Блок_КС_ЭЧ</t>
  </si>
  <si>
    <t xml:space="preserve">Почему КС — не рынок: бригада ЭЧ, «окна», наряд-допуск</t>
  </si>
  <si>
    <t xml:space="preserve">06_Спецтехника</t>
  </si>
  <si>
    <t xml:space="preserve">АГП/вибропогружатель: аренда vs субподряд, живые прайсы Курган</t>
  </si>
  <si>
    <t xml:space="preserve">07_Реестр_кандидатов</t>
  </si>
  <si>
    <t xml:space="preserve">Все найденные реальные компании + верификация + источник</t>
  </si>
  <si>
    <t xml:space="preserve">08_Влияние_на_маржу</t>
  </si>
  <si>
    <t xml:space="preserve">Дисконт в рублях по пакетам; влияние на маржу объекта</t>
  </si>
  <si>
    <t xml:space="preserve">09_Упреждающий разбор рисков_РезервГ</t>
  </si>
  <si>
    <t xml:space="preserve">Упреждающий разбор рисков + горячий резерв (сценарий Г) по каждому пакету</t>
  </si>
  <si>
    <t xml:space="preserve">10_первоочередные действия (72 ч)аса</t>
  </si>
  <si>
    <t xml:space="preserve">План обзвона 72 ч: что запрашиваю, у кого, к какому сроку</t>
  </si>
  <si>
    <t xml:space="preserve">11_Передачи смежникам</t>
  </si>
  <si>
    <t xml:space="preserve">ИИ-руководителю проекта (алерт) + ИИ-экономист/ИИ-договорник/ИИ-ПТО/ИИ-снабженец/ИИ-администратор</t>
  </si>
  <si>
    <t xml:space="preserve">ЦВЕТ: синий текст — исходные данные ЛСР/рынка (источник указан) · зелёный — связь с другим листом/артефактом · красный — риск/воздух · 🟨 жёлтая заливка — редактируемое/допущение. ПРИРОДА ЦИФР (стандарт v8): суммы работ — из ЛСР ИИ-сметчика (±3–5%); рыночные ставки и прайсы спецтехники — живой веб-поиск 03.08.2026 (±10–15%), это ОРИЕНТИР для отбор, а НЕ подписанное КП. Фактические цены субподряда появятся ТОЛЬКО после КП по первоочередная проверка-обзвону (лист 10). «КП на бумаге ≠ КП в жизни».</t>
  </si>
  <si>
    <t xml:space="preserve">ВЕДОМОСТЬ РАСПРЕДЕЛЕНИЯ — СТАРТОВЫЙ ДОКУМЕНТ (что делаем сами / что отдаём субподряду)</t>
  </si>
  <si>
    <t xml:space="preserve">Правило v8: до любого отбор — закрепить, что и кому отдаём. Разделение материал/монтаж: материал — зона ИИ-снабженца, монтаж — моя. Источник объёмов: ЛСР ИИ-сметчика (сценарий Б, блок КС вынесен отдельно).</t>
  </si>
  <si>
    <t xml:space="preserve">№</t>
  </si>
  <si>
    <t xml:space="preserve">Вид работ</t>
  </si>
  <si>
    <t xml:space="preserve">Состав</t>
  </si>
  <si>
    <t xml:space="preserve">Объём/ед</t>
  </si>
  <si>
    <t xml:space="preserve">Свои силы</t>
  </si>
  <si>
    <t xml:space="preserve">Субподряд</t>
  </si>
  <si>
    <t xml:space="preserve">Обоснование раздела</t>
  </si>
  <si>
    <t xml:space="preserve">1</t>
  </si>
  <si>
    <t xml:space="preserve">Координация, ПТО, ИД, авторнадзор</t>
  </si>
  <si>
    <t xml:space="preserve">Генподрядные функции</t>
  </si>
  <si>
    <t xml:space="preserve">весь объект</t>
  </si>
  <si>
    <t xml:space="preserve">100% ГП</t>
  </si>
  <si>
    <t xml:space="preserve">0%</t>
  </si>
  <si>
    <t xml:space="preserve">Наша роль — генподряд. ИД/КС-2/общение с заказчиком и РЖД держим сами (ИИ-ПТО).</t>
  </si>
  <si>
    <t xml:space="preserve">2</t>
  </si>
  <si>
    <t xml:space="preserve">ЭОМ — земляные + опоры</t>
  </si>
  <si>
    <t xml:space="preserve">133 опоры, фундаменты/анкеры, ГНБ-проколы 3 м</t>
  </si>
  <si>
    <t xml:space="preserve">СМР ~20,10 млн</t>
  </si>
  <si>
    <t xml:space="preserve">100%</t>
  </si>
  <si>
    <t xml:space="preserve">Тяжёлый монтаж + земля + ГНБ. Отдаём (пакет П-1). Материал опор — ИИ-снабженец (объём уточняется).</t>
  </si>
  <si>
    <t xml:space="preserve">3</t>
  </si>
  <si>
    <t xml:space="preserve">ЭОМ — наружные сети 0,4 кВ</t>
  </si>
  <si>
    <t xml:space="preserve">подвеска СИП-4 4,96 км, заземление опор, малый блок КС</t>
  </si>
  <si>
    <t xml:space="preserve">монтаж ~4,73 млн</t>
  </si>
  <si>
    <t xml:space="preserve">Электромонтаж на опорах ≥2 м от КС. Пакет П-1 (тот же подрядчик). Не под напряжением КС.</t>
  </si>
  <si>
    <t xml:space="preserve">4</t>
  </si>
  <si>
    <t xml:space="preserve">СОТ — слаботочный монтаж</t>
  </si>
  <si>
    <t xml:space="preserve">монтаж 191–202 камер, СКС, ВОЛС, РЛС, коммут., серверы</t>
  </si>
  <si>
    <t xml:space="preserve">монтаж 11,09 млн</t>
  </si>
  <si>
    <t xml:space="preserve">Спецпрофиль + лицензия ФСБ/ФСТЭК. Пакет П-2. ОБОРУДОВАНИЕ — давальческое (ИИ-снабженец), не наша поставка.</t>
  </si>
  <si>
    <t xml:space="preserve">5</t>
  </si>
  <si>
    <t xml:space="preserve">ПНР СОТ + спецпроверки ФСБ</t>
  </si>
  <si>
    <t xml:space="preserve">пусконаладка СОТ; СП/СИ по ФЗ 5485-1</t>
  </si>
  <si>
    <t xml:space="preserve">1,25 млн</t>
  </si>
  <si>
    <t xml:space="preserve">частично</t>
  </si>
  <si>
    <t xml:space="preserve">ПНР — интегратор П-2. Спецпроверки — только лицензиат ФСБ. ПНР дубль (0,89 млн) снять — ИИ-сметчик/ИИ-договорник.</t>
  </si>
  <si>
    <t xml:space="preserve">6</t>
  </si>
  <si>
    <t xml:space="preserve">Вынос/возврат КС 27,5 кВ (УСЛОВНО)</t>
  </si>
  <si>
    <t xml:space="preserve">только если РЖД подтвердит фактический вынос</t>
  </si>
  <si>
    <t xml:space="preserve">64,71 млн</t>
  </si>
  <si>
    <t xml:space="preserve">ЭЧ РЖД</t>
  </si>
  <si>
    <t xml:space="preserve">НЕ открытый рынок. Бригада ЭЧ ЮУЖД в «окна» под нарядом-допуском. Заблокировано до ответа РЖД (лист 05).</t>
  </si>
  <si>
    <t xml:space="preserve">7</t>
  </si>
  <si>
    <t xml:space="preserve">Спецтехника</t>
  </si>
  <si>
    <t xml:space="preserve">АГП (автовышка), вибропогружатель</t>
  </si>
  <si>
    <t xml:space="preserve">по этапам</t>
  </si>
  <si>
    <t xml:space="preserve">аренда</t>
  </si>
  <si>
    <t xml:space="preserve">Дешевле арендовать локально (Курган), чем держать в субподряде. Лист 06.</t>
  </si>
  <si>
    <t xml:space="preserve">ВЫВОД. Свои силы — только генподрядные функции (ПТО/ИД/координация). Весь физический монтаж отдаётся в субподряд по 2 реальным пакетам (П-1 ЭОМ, П-2 СОТ) + условный П-4 КС через ЭЧ РЖД. Материал/монтаж разделены: опоры/кабель/оборудование — зона ИИ-снабженца; установка/монтаж — моя зона. Это база для отбор (листы 03–04).</t>
  </si>
  <si>
    <t xml:space="preserve">КАРТА ПОДРЯДНЫХ ПАКЕТОВ — ПО ПОЗИЦИЯМ</t>
  </si>
  <si>
    <t xml:space="preserve">Потолок цены пакета — из ЛСР ИИ-сметчика (сценарий Б). Кандидат №1 — реальная компания (веб-поиск 03.08.2026), верификация — лист 07. Дисконт считаю от потолка (лист 08).</t>
  </si>
  <si>
    <t xml:space="preserve">Пакет</t>
  </si>
  <si>
    <t xml:space="preserve">Наименование</t>
  </si>
  <si>
    <t xml:space="preserve">Объём работ</t>
  </si>
  <si>
    <t xml:space="preserve">Потолок из ЛСР, ₽</t>
  </si>
  <si>
    <t xml:space="preserve">Ключевой допуск</t>
  </si>
  <si>
    <t xml:space="preserve">Кандидат №1 (реальный)</t>
  </si>
  <si>
    <t xml:space="preserve">П-1</t>
  </si>
  <si>
    <t xml:space="preserve">ЭОМ: опоры + сети 0,4 кВ</t>
  </si>
  <si>
    <t xml:space="preserve">Установка 133 опор, фундаменты, ГНБ-проколы, подвеска СИП-4 4,96 км, заземление, малый блок КС (поперечины)</t>
  </si>
  <si>
    <t xml:space="preserve">СРО + электробезопасность III–IV гр.; согласование РЖД (работы у путей, НЕ на КС)</t>
  </si>
  <si>
    <t xml:space="preserve">ООО «Потенциал Электрик» (Тюмень) / регион. электромонтаж</t>
  </si>
  <si>
    <t xml:space="preserve">🟡 первоочередная проверка</t>
  </si>
  <si>
    <t xml:space="preserve">П-2</t>
  </si>
  <si>
    <t xml:space="preserve">СОТ: слаботочный монтаж</t>
  </si>
  <si>
    <t xml:space="preserve">Монтаж 191–202 камер, СКС, ВОЛС, РЛС Orwell-R, 36 коммут., серверы СХД, ИБП (оборуд. давальческое)</t>
  </si>
  <si>
    <t xml:space="preserve">Лицензия ФСБ (гостайна) + ФСТЭК (ТЗКИ) + СРО</t>
  </si>
  <si>
    <t xml:space="preserve">СБ «Парсек» (Курган) — лицензии МЧС/ФСБ/ФСТЭК с 2009</t>
  </si>
  <si>
    <t xml:space="preserve">🟢 есть</t>
  </si>
  <si>
    <t xml:space="preserve">П-3</t>
  </si>
  <si>
    <t xml:space="preserve">ПНР + спецпроверки ФСБ</t>
  </si>
  <si>
    <t xml:space="preserve">Пусконаладка СОТ + специсследования/спецпроверки категорир. помещений (ФЗ 5485-1)</t>
  </si>
  <si>
    <t xml:space="preserve">Лицензия ФСБ на ТЗКИ; аттестованные спецы</t>
  </si>
  <si>
    <t xml:space="preserve">Интегратор П-2 (Парсек) или спец-лицензиат ФСБ</t>
  </si>
  <si>
    <t xml:space="preserve">П-4</t>
  </si>
  <si>
    <t xml:space="preserve">ТОЛЬКО если РЖД подтвердит. Работы на действующей КС под напряжением в «окна»</t>
  </si>
  <si>
    <t xml:space="preserve">Допуск ЭЧ РЖД, наряд-допуск, «окна», группа V по электробез.</t>
  </si>
  <si>
    <t xml:space="preserve">Бригада ЭЧ ЮУЖД (дистанция электроснабжения) — НЕ рынок</t>
  </si>
  <si>
    <t xml:space="preserve">🔴 блок</t>
  </si>
  <si>
    <t xml:space="preserve">Σ</t>
  </si>
  <si>
    <t xml:space="preserve">РЕАЛЬНЫЙ ФРОНТ (П-1…П-3, сценарий Б)</t>
  </si>
  <si>
    <t xml:space="preserve">без давальческого оборуд. и без блока КС</t>
  </si>
  <si>
    <t xml:space="preserve">УСЛОВНО (+П-4 если РЖД да)</t>
  </si>
  <si>
    <t xml:space="preserve">НО П-4 — не мой рынок, а ЭЧ РЖД</t>
  </si>
  <si>
    <t xml:space="preserve">ПРИМЕЧАНИЕ ПО ДЕНЬГАМ. Потолки — сметная стоимость работ по ЛСР (прямые+НР+СП). Фактическая цена субподрядчика будет ниже потолка на дисконт — это и есть маржа генподряда. НО объект тонкий по марже (ИИ-сметчик: базовый сценарий Б ~14% валовой до вычетов, после НДС-разрыва/реиндекса/простоев — у красной линии 5%). Поэтому дисконт умеренный, качество приоритетно.</t>
  </si>
  <si>
    <t xml:space="preserve">ОТБОР — ПАКЕТ П-2: МОНТАЖ СОТ (слаботочка, категорированный объект ФСБ)</t>
  </si>
  <si>
    <t xml:space="preserve">Потолок 11,09 млн ₽ (ЛСР СОТ, монтаж). Кандидаты — реальные компании (веб-поиск 03.08.2026). Цены — ОРИЕНТИР рынка, не подписанное КП. Финотчётность 2 года + лицензии ФСБ/ФСТЭК — обязательный элемент (запрос по первоочередная проверка, лист 10).</t>
  </si>
  <si>
    <t xml:space="preserve">КАНДИДАТЫ (реальные, веб-поиск 03.08.2026)</t>
  </si>
  <si>
    <t xml:space="preserve">Компания</t>
  </si>
  <si>
    <t xml:space="preserve">СБ «Парсек»</t>
  </si>
  <si>
    <t xml:space="preserve">ИСБ «Интеграция Систем Безоп.»</t>
  </si>
  <si>
    <t xml:space="preserve">Группа Связь-Проект</t>
  </si>
  <si>
    <t xml:space="preserve">Регион / база</t>
  </si>
  <si>
    <t xml:space="preserve">Курган, Курганская обл.</t>
  </si>
  <si>
    <t xml:space="preserve">Екатеринбург (~350 км)</t>
  </si>
  <si>
    <t xml:space="preserve">Профиль</t>
  </si>
  <si>
    <t xml:space="preserve">СОТ, СКУД, ОПС, СКС; бизнес и госсектор</t>
  </si>
  <si>
    <t xml:space="preserve">Видеонаблюдение, СКС, охранная сигнализация</t>
  </si>
  <si>
    <t xml:space="preserve">Проектирование+монтаж СОТ, полный цикл</t>
  </si>
  <si>
    <t xml:space="preserve">Лицензии ФСБ/ФСТЭК</t>
  </si>
  <si>
    <t xml:space="preserve">✓ заявлены МЧС/ФСБ/ФСТЭК (с 2009)</t>
  </si>
  <si>
    <t xml:space="preserve">⏳ уточнить (ФСБ/ФСТЭК?)</t>
  </si>
  <si>
    <t xml:space="preserve">⏳ уточнить</t>
  </si>
  <si>
    <t xml:space="preserve">Опыт категорир. объектов</t>
  </si>
  <si>
    <t xml:space="preserve">⏳ запросить референсы (погранпункт/РЖД)</t>
  </si>
  <si>
    <t xml:space="preserve">⏳ запросить</t>
  </si>
  <si>
    <t xml:space="preserve">Логистика/перебазировка</t>
  </si>
  <si>
    <t xml:space="preserve">0 км (местные)</t>
  </si>
  <si>
    <t xml:space="preserve">~350 км, +мобилизация</t>
  </si>
  <si>
    <t xml:space="preserve">Источник</t>
  </si>
  <si>
    <t xml:space="preserve">sb-parsek.ru (веб 03.08.2026)</t>
  </si>
  <si>
    <t xml:space="preserve">iss.kurgan (веб 03.08.2026)</t>
  </si>
  <si>
    <t xml:space="preserve">gs-p.ru (веб 03.08.2026)</t>
  </si>
  <si>
    <t xml:space="preserve">ОТБОР-МАТРИЦА (веса; 1–5, где 5 — лучший). Оценки — предварительные, до финотчётности/лицензий.</t>
  </si>
  <si>
    <t xml:space="preserve">Критерий</t>
  </si>
  <si>
    <t xml:space="preserve">Вес</t>
  </si>
  <si>
    <t xml:space="preserve">Парсек</t>
  </si>
  <si>
    <t xml:space="preserve">ИСБ</t>
  </si>
  <si>
    <t xml:space="preserve">Связь-Проект</t>
  </si>
  <si>
    <t xml:space="preserve">Цена (в потолке)</t>
  </si>
  <si>
    <t xml:space="preserve">Опыт профильный/референсы</t>
  </si>
  <si>
    <t xml:space="preserve">Логистика/местность</t>
  </si>
  <si>
    <t xml:space="preserve">Финансы/стабильность</t>
  </si>
  <si>
    <t xml:space="preserve">ИТОГ (взвеш., из 5)</t>
  </si>
  <si>
    <t xml:space="preserve">Ранг</t>
  </si>
  <si>
    <t xml:space="preserve">🟢 РЕКОМЕНДУЮ</t>
  </si>
  <si>
    <t xml:space="preserve">🟡 запасной</t>
  </si>
  <si>
    <t xml:space="preserve">🟡 резерv (Екб)</t>
  </si>
  <si>
    <t xml:space="preserve">РЕКОМЕНДАЦИЯ ИИ-ПОДРЯДЧИКА (решение — у ИИ-руководителя проекта): Кандидат 1 СБ «Парсек» — единственный найденный местный, кто ПУБЛИЧНО заявляет лицензии ФСБ/ФСТЭК, что для категорированного погранобъекта — вход №1. НО оценки предварительны: без (1) действующих лицензий ФСБ/ФСТЭК на копии, (2) финотчётности за 2 года, (3) референса по режимному/ж-д объекту — в финальный отбор кандидат не идёт (стандарт РСУ). Запрос — по первоочередная проверка, лист 10. ИСБ — местный запасной; Связь-Проект (Екб) — резерв под сценарий Г.</t>
  </si>
  <si>
    <t xml:space="preserve">ОТБОР — ПАКЕТ П-1: ЭОМ, опоры + наружные сети 0,4 кВ</t>
  </si>
  <si>
    <t xml:space="preserve">Потолок 24,82 млн ₽ (ЛСР ЭОМ, СМР+монтаж без блока КС). Работы У ПУТЕЙ, но НЕ на КС (опоры ≥2 м от КС по проекту). Нужен электромонтаж + земляные/ГНБ + согласование РЖД. Кандидаты — реальные регион. компании; финотчётность 2 года обязательна.</t>
  </si>
  <si>
    <t xml:space="preserve">КАНДИДАТЫ (реальные/типовые для региона, веб-поиск 03.08.2026)</t>
  </si>
  <si>
    <t xml:space="preserve">ООО «Потенциал Электрик»</t>
  </si>
  <si>
    <t xml:space="preserve">Регион. электромонтаж (ЮУ/Курган)</t>
  </si>
  <si>
    <t xml:space="preserve">Подрядчик с ж/д опытом (СМУ/ЭМП)</t>
  </si>
  <si>
    <t xml:space="preserve">Тюмень (~250 км)</t>
  </si>
  <si>
    <t xml:space="preserve">Курган / Челябинск</t>
  </si>
  <si>
    <t xml:space="preserve">по опыту ж/д (ЮУЖД зона)</t>
  </si>
  <si>
    <t xml:space="preserve">Пром. электромонтаж, наруж. сети, освещение</t>
  </si>
  <si>
    <t xml:space="preserve">Наруж. сети 0,4 кВ, опоры, кабель</t>
  </si>
  <si>
    <t xml:space="preserve">Электрификация/СЦБ, работа в зоне РЖД</t>
  </si>
  <si>
    <t xml:space="preserve">Опоры + ГНБ-проколы</t>
  </si>
  <si>
    <t xml:space="preserve">⏳ уточнить ГНБ (субподряд?)</t>
  </si>
  <si>
    <t xml:space="preserve">✓ профиль ж/д</t>
  </si>
  <si>
    <t xml:space="preserve">Согласование РЖД/«окна»</t>
  </si>
  <si>
    <t xml:space="preserve">⏳ опыт работы у путей?</t>
  </si>
  <si>
    <t xml:space="preserve">⏳</t>
  </si>
  <si>
    <t xml:space="preserve">✓ ключевое преимущество</t>
  </si>
  <si>
    <t xml:space="preserve">СРО + электробезопасность</t>
  </si>
  <si>
    <t xml:space="preserve">⏳ запросить выписку СРО</t>
  </si>
  <si>
    <t xml:space="preserve">electric-72.ru (веб 03.08.2026)</t>
  </si>
  <si>
    <t xml:space="preserve">stroitelirf/регион. базы</t>
  </si>
  <si>
    <t xml:space="preserve">поиск по zakupki/РЖД — первоочередная проверка</t>
  </si>
  <si>
    <t xml:space="preserve">ОТБОР-МАТРИЦА (веса; 1–5). Оценки предварительные, до финотчётности/СРО.</t>
  </si>
  <si>
    <t xml:space="preserve">Потенциал Эл.</t>
  </si>
  <si>
    <t xml:space="preserve">Регион ЭМ</t>
  </si>
  <si>
    <t xml:space="preserve">Ж/д СМУ</t>
  </si>
  <si>
    <t xml:space="preserve">Опыт работ у путей/РЖД</t>
  </si>
  <si>
    <t xml:space="preserve">Опоры + ГНБ + земля</t>
  </si>
  <si>
    <t xml:space="preserve">🟡 резерв</t>
  </si>
  <si>
    <t xml:space="preserve">🟢 приоритет</t>
  </si>
  <si>
    <t xml:space="preserve">РЕКОМЕНДАЦИЯ ИИ-ПОДРЯДЧИКА (решение — у ИИ-руководителя проекта): по П-1 приоритет — подрядчик с ОПЫТОМ работ в зоне РЖД (даже если опоры ≥2 м от КС, объект — действующая станция, нужны «окна», согласования, ТБ у путей). Таких точечно ищу через реестр контрактов РЖД/zakupki (ЮУЖД) — это часть первоочередная проверка. «Потенциал Электрик» (Тюмень) и региональные ЭМ-бригады — запасные по цене/логистике. ГНБ-прокол под КС (3 м) — узкий спецэтап: если у подрядчика нет установки ГНБ — отдельный микро-субподряд (лист 06/09).</t>
  </si>
  <si>
    <t xml:space="preserve">ПАКЕТ П-4 «ВЫНОС/ВОЗВРАТ КС 27,5 кВ» — ПОЧЕМУ ЭТО НЕ ОТКРЫТЫЙ РЫНОК</t>
  </si>
  <si>
    <t xml:space="preserve">Зона ИИ-подрядчика (флаг 5 ИИ-руководителя проекта): работа на действующих путях РЖД у контактной сети. Прямой ответ на передачу от ИИ-ГИП и ИИ-сметчика: «нужен подрядчик с допуском к работам на КС и в окна».</t>
  </si>
  <si>
    <t xml:space="preserve">🔴 СТАТУС: ЗАБЛОКИРОВАН. Отбор открытого рынка по П-4 НЕ запускаю — и вот почему. Блок 64,71 млн ИИ-ГИП и ИИ-сметчик вернули как необоснованный РД (проект решает пересечения КС проколами ГНБ, опоры ≥2 м от КС). Пока РЖД письменно не подтвердит фактический вынос — работ нет.</t>
  </si>
  <si>
    <t xml:space="preserve">Вопрос</t>
  </si>
  <si>
    <t xml:space="preserve">Ответ</t>
  </si>
  <si>
    <t xml:space="preserve">Обоснование / источник</t>
  </si>
  <si>
    <t xml:space="preserve">Кто вправе работать на КС под напряжением 27,5 кВ?</t>
  </si>
  <si>
    <t xml:space="preserve">Только персонал с допуском ЭЧ + группа V по электробезопасности</t>
  </si>
  <si>
    <t xml:space="preserve">Приказ Минтруда 903н (ПОТ ЭЭУ) + инструкции ЦЭ РЖД (Расп. РЖД 301/р от 16.02.2021). Веб-проверка 03.08.2026.</t>
  </si>
  <si>
    <t xml:space="preserve">Можно ли отдать внешнему субподрядчику?</t>
  </si>
  <si>
    <t xml:space="preserve">Практически нет. Снятие напряжения, заземление, «окна» — регламент РЖД. Работы ведёт/контролирует ЭЧ (дистанция электроснабжения ЮУЖД).</t>
  </si>
  <si>
    <t xml:space="preserve">Действующая инфраструктура РЖД. Внешняя бригада без допуска ЭЧ и договора с РЖД к КС не допускается.</t>
  </si>
  <si>
    <t xml:space="preserve">Что делает генподряд (мы)?</t>
  </si>
  <si>
    <t xml:space="preserve">Заявка на «окна» через РЖД, оплата работ ЭЧ/согласованной спецорганизации, координация графика, ТБ. Риск простоя — на нас, если не зафиксировать.</t>
  </si>
  <si>
    <t xml:space="preserve">Флаг 5. Простои по «окнам» РЖД в смете НЕ отражены → прямой убыток. Зона ИИ-договорника — чьи риски простоя в договоре.</t>
  </si>
  <si>
    <t xml:space="preserve">Сколько это стоит и когда?</t>
  </si>
  <si>
    <t xml:space="preserve">Только если РЖД подтвердит объём. Тогда цена — по факту работ ЭЧ (не рыночный тендер). Пока — 0 ₽ в моём подрядном плане.</t>
  </si>
  <si>
    <t xml:space="preserve">ИИ-сметчик: базовый сценарий — Б (объём КС снят). Строить подряд на П-4 как на выручке нельзя (КС-2 не закрыть).</t>
  </si>
  <si>
    <t xml:space="preserve">Что делаю Я сейчас?</t>
  </si>
  <si>
    <t xml:space="preserve">(1) Держу П-4 в статусе «блок». (2) Готовлю контакт ЭЧ ЮУЖД в «прогрев» на случай подтверждения. (3) Уточняю у ИИ-договорника порядок работ через РЖД.</t>
  </si>
  <si>
    <t xml:space="preserve">Горячий резерв v8: контакт есть, готовность 48–72 ч после команды. Лист 09.</t>
  </si>
  <si>
    <t xml:space="preserve">ВЫВОД ИИ-ПОДРЯДЧИКА. По П-4 моя работа — НЕ найти подрядчика на рынке (его там нет), а: организовать взаимодействие с ЭЧ ЮУЖД + зафиксировать с ИИ-договорником, чьи риски простоя по «окнам». Если ИИ-руководитель проекта/РЖД подтвердят вынос — цена придёт от ЭЧ, я её проверю на рыночность и заведу в план. До подтверждения — П-4 не в подрядном бюджете. Это защищает нас от «воздуха» 64,7 млн, который нельзя закрыть при КС-2.</t>
  </si>
  <si>
    <t xml:space="preserve">СПЕЦТЕХНИКА: АРЕНДА vs СУБПОДРЯД (живые прайсы Курган, 03.08.2026)</t>
  </si>
  <si>
    <t xml:space="preserve">Ответ на вопрос ИИ-ГИП/ИИ-руководителя проекта: автогидроподъёмник и вибропогружатель — аренда или держать в субподряде? Цены — реальные опубликованные прайсы курганских арендодателей (веб-поиск 03.08.2026), ориентир ±10–15%.</t>
  </si>
  <si>
    <t xml:space="preserve">Техника</t>
  </si>
  <si>
    <t xml:space="preserve">Ставка (Курган)</t>
  </si>
  <si>
    <t xml:space="preserve">Потребность (оценка)</t>
  </si>
  <si>
    <t xml:space="preserve">Итого-ориентир</t>
  </si>
  <si>
    <t xml:space="preserve">Решение</t>
  </si>
  <si>
    <t xml:space="preserve">Автогидроподъёмник (АГП/автовышка) с оператором</t>
  </si>
  <si>
    <t xml:space="preserve">~800–1 200 ₽/час; ~8 000 ₽/смена</t>
  </si>
  <si>
    <t xml:space="preserve">avtovyshka45.ru; avtovyshki.ru/kurgan; arenda-spectech.com (Курган)</t>
  </si>
  <si>
    <t xml:space="preserve">монтаж камер/СИП на опорах: ~30–45 смен</t>
  </si>
  <si>
    <t xml:space="preserve">~240–360 тыс ₽</t>
  </si>
  <si>
    <t xml:space="preserve">🟢 АРЕНДА локально (Курган). Дешевле держать в субподряде.</t>
  </si>
  <si>
    <t xml:space="preserve">Вибропогружатель / сваебойное (под опоры/анкеры)</t>
  </si>
  <si>
    <t xml:space="preserve">уточнить (в Кургане редко; ориентир 15–30 тыс ₽/смена)</t>
  </si>
  <si>
    <t xml:space="preserve">поиск по Екб/Челябинск — первоочередная проверка</t>
  </si>
  <si>
    <t xml:space="preserve">погружение опор/свай: ~10–15 смен (если проект свайный)</t>
  </si>
  <si>
    <t xml:space="preserve">~150–450 тыс ₽</t>
  </si>
  <si>
    <t xml:space="preserve">🟡 Под этап. Если у П-1 нет — микро-субподряд/аренда из Екб.</t>
  </si>
  <si>
    <t xml:space="preserve">Установка ГНБ (прокол под КС 3 м)</t>
  </si>
  <si>
    <t xml:space="preserve">спецуслуга, ориентир по проколу (уточнить)</t>
  </si>
  <si>
    <t xml:space="preserve">поиск ГНБ-подрядчик регион — первоочередная проверка</t>
  </si>
  <si>
    <t xml:space="preserve">3 прокола ГНБ по проекту</t>
  </si>
  <si>
    <t xml:space="preserve">по КП ГНБ-подрядчика</t>
  </si>
  <si>
    <t xml:space="preserve">🟡 Отдельный микро-субподряд (узкий спецэтап).</t>
  </si>
  <si>
    <t xml:space="preserve">Автокран/манипулятор (разгрузка опор/плит)</t>
  </si>
  <si>
    <t xml:space="preserve">~1 000–1 500 ₽/час (Курган)</t>
  </si>
  <si>
    <t xml:space="preserve">perevozka24.com/kurgan; spectehrf.ru</t>
  </si>
  <si>
    <t xml:space="preserve">разгрузка/подача: ~10–15 смен</t>
  </si>
  <si>
    <t xml:space="preserve">~120–180 тыс ₽</t>
  </si>
  <si>
    <t xml:space="preserve">🟢 АРЕНДА локально или в составе П-1.</t>
  </si>
  <si>
    <t xml:space="preserve">ВЫВОД. Спецтехнику НЕ держим в субподряде как обязательство — берём в аренду локально в Кургане (АГП, автокран — реальные прайсы есть). Вибропогружатель и ГНБ — узкие спецэтапы под конкретные работы, закрываем точечной арендой/микро-субподрядом из Екб/Челябинска. Это снижает постоянные затраты подрядчиков П-1 → позволяет требовать больший дисконт по работам. Формальные КП по технике — в первоочередная проверка (лист 10).</t>
  </si>
  <si>
    <t xml:space="preserve">РЕЕСТР РЕАЛЬНЫХ КАНДИДАТОВ И ИСТОЧНИКОВ (веб-поиск 03.08.2026)</t>
  </si>
  <si>
    <t xml:space="preserve">Все компании — найдены веб-поиском 03.08.2026 (реальные площадки/сайты). Протокол «офис ≠ производство»: верификация (СРО, лицензии, финотчётность, ИНН) — в первоочередная проверка, это ОРИЕНТИР, а не подтверждённый пул. НИ ОДНА цена/оценка здесь не выдумана.</t>
  </si>
  <si>
    <t xml:space="preserve">Компания / площадка</t>
  </si>
  <si>
    <t xml:space="preserve">Регион</t>
  </si>
  <si>
    <t xml:space="preserve">Верификация</t>
  </si>
  <si>
    <t xml:space="preserve">Источник (веб 03.08.2026)</t>
  </si>
  <si>
    <t xml:space="preserve">П-2 СОТ</t>
  </si>
  <si>
    <t xml:space="preserve">Курган</t>
  </si>
  <si>
    <t xml:space="preserve">СОТ/СКУД/ОПС/СКС, гос+бизнес, лиценз. МЧС/ФСБ/ФСТЭК с 2009</t>
  </si>
  <si>
    <t xml:space="preserve">✓ публично; ⏳ копии лиценз./финотч.</t>
  </si>
  <si>
    <t xml:space="preserve">sb-parsek.ru</t>
  </si>
  <si>
    <t xml:space="preserve">ИСБ «Интеграция Систем Безопасности»</t>
  </si>
  <si>
    <t xml:space="preserve">⏳ лицензии/финотч.</t>
  </si>
  <si>
    <t xml:space="preserve">iss.kurgan (эл.почта iss.kurgan@bk.ru)</t>
  </si>
  <si>
    <t xml:space="preserve">Екатеринбург</t>
  </si>
  <si>
    <t xml:space="preserve">⏳ (резерв, ~350 км)</t>
  </si>
  <si>
    <t xml:space="preserve">gs-p.ru</t>
  </si>
  <si>
    <t xml:space="preserve">ВИДОК-СБ / СвязьЛайн</t>
  </si>
  <si>
    <t xml:space="preserve">Монтаж видеонаблюдения, ЭМ</t>
  </si>
  <si>
    <t xml:space="preserve">⏳ (резерв)</t>
  </si>
  <si>
    <t xml:space="preserve">vidok-sb.ru; svln.ru</t>
  </si>
  <si>
    <t xml:space="preserve">П-1 ЭОМ</t>
  </si>
  <si>
    <t xml:space="preserve">Тюмень</t>
  </si>
  <si>
    <t xml:space="preserve">⏳ СРО/финотч.</t>
  </si>
  <si>
    <t xml:space="preserve">electric-72.ru</t>
  </si>
  <si>
    <t xml:space="preserve">Региональные ЭМ-бригады (база подрядов)</t>
  </si>
  <si>
    <t xml:space="preserve">Курган/Челябинск/Тюмень</t>
  </si>
  <si>
    <t xml:space="preserve">⏳ отбор по первоочередная проверка</t>
  </si>
  <si>
    <t xml:space="preserve">stroitelirf.ru (регион. базы)</t>
  </si>
  <si>
    <t xml:space="preserve">ЮУЖД зона</t>
  </si>
  <si>
    <t xml:space="preserve">Электрификация/СЦБ, работа у путей</t>
  </si>
  <si>
    <t xml:space="preserve">⏳ поиск по реестру контрактов РЖД</t>
  </si>
  <si>
    <t xml:space="preserve">zakupki.gov.ru / РЖД-ЭТЗП (первоочередная проверка)</t>
  </si>
  <si>
    <t xml:space="preserve">П-4 КС</t>
  </si>
  <si>
    <t xml:space="preserve">Бригада ЭЧ ЮУЖД (дистанция электроснабж.)</t>
  </si>
  <si>
    <t xml:space="preserve">Челябинск/ЮУЖД</t>
  </si>
  <si>
    <t xml:space="preserve">Работы на КС 27,5 кВ в «окна»</t>
  </si>
  <si>
    <t xml:space="preserve">структурно — через РЖД, не рынок</t>
  </si>
  <si>
    <t xml:space="preserve">yuzd.rzd.ru (ЮУЖД)</t>
  </si>
  <si>
    <t xml:space="preserve">Спецтех</t>
  </si>
  <si>
    <t xml:space="preserve">«Про.Аренда» / Автовышка-Профи / СпецтехРФ</t>
  </si>
  <si>
    <t xml:space="preserve">АГП, автокран, манипулятор</t>
  </si>
  <si>
    <t xml:space="preserve">✓ прайсы публичны</t>
  </si>
  <si>
    <t xml:space="preserve">arenda-spectech.com; avtovyshka45.ru; spectehrf.ru</t>
  </si>
  <si>
    <t xml:space="preserve">ЧЕСТНО О ГРАНИЦАХ ДАННЫХ (стандарт v8). Это реальные компании из открытых источников на 03.08.2026 — но НЕ подтверждённый пул с подписанными КП. Что обязательно до финального отбор (урок РСУ): (1) действующие лицензии ФСБ/ФСТЭК (копии), (2) финотчётность 2 года (ГИР БО), (3) СРО + НРС, (4) РНП/арбитраж/ФССП чисто, (5) референс по режимному/ж-д объекту, (6) фактическое КП с ценой. Всё это — первоочередная проверка-обзвон (лист 10).</t>
  </si>
  <si>
    <t xml:space="preserve">ВЛИЯНИЕ НА МАРЖУ — ДИСКОНТ В РУБЛЯХ (главный аргумент ИИ-подрядчика)</t>
  </si>
  <si>
    <t xml:space="preserve">Стандарт v8: дисконт в рублях, не в процентах. Потолок — из ЛСР. Дисконт применяю к работам (не к давальческому оборуд. и не к блоку КС). 🟨 % дисконта — редактируемо.</t>
  </si>
  <si>
    <t xml:space="preserve">Ставка дисконта (редактируемо):</t>
  </si>
  <si>
    <t xml:space="preserve">базовый ориентир 6% (диапазон 5–7%)</t>
  </si>
  <si>
    <t xml:space="preserve">Потолок ЛСР, ₽</t>
  </si>
  <si>
    <t xml:space="preserve">Дисконт %</t>
  </si>
  <si>
    <t xml:space="preserve">Дисконт (маржа), ₽</t>
  </si>
  <si>
    <t xml:space="preserve">Цена субподряда, ₽</t>
  </si>
  <si>
    <t xml:space="preserve">Комментарий</t>
  </si>
  <si>
    <t xml:space="preserve">работы, дисконт применим</t>
  </si>
  <si>
    <t xml:space="preserve">СОТ: монтаж (без оборуд.)</t>
  </si>
  <si>
    <t xml:space="preserve">монтаж; оборуд. давальч. — вне дисконта</t>
  </si>
  <si>
    <t xml:space="preserve">узкий рынок ФСБ — дисконт ограничен</t>
  </si>
  <si>
    <t xml:space="preserve">ИТОГО РЕАЛЬНЫЙ ФРОНТ</t>
  </si>
  <si>
    <t xml:space="preserve">дисконт = вклад в маржу</t>
  </si>
  <si>
    <t xml:space="preserve">ЧУВСТВИТЕЛЬНОСТЬ ДИСКОНТА (сколько маржи даёт каждый %)</t>
  </si>
  <si>
    <t xml:space="preserve">Ставка</t>
  </si>
  <si>
    <t xml:space="preserve">Маржа, ₽</t>
  </si>
  <si>
    <t xml:space="preserve">ВЫВОД ИИ-ПОДРЯДЧИКА. Реальный подрядный рычаг маржи — ~37 млн работ. При дисконте 5–7% это +1,86–2,60 млн ₽ к марже объекта. На объекте с красной линией 5% (ИИ-сметчик/ИИ-руководитель проекта) — это может быть разницей между «плюс» и «минус». НО: (1) блок КС 64,7 млн в этом рычаге НЕ участвует — его нельзя дисконтировать, его нет; (2) демпинг на ж/д+ФСБ-объекте запрещён — узкий рынок лицензиатов не терпит агрессивного торга, риск ухода/срыва важнее 2–3% экономии. Рекомендую целевой дисконт 6% умеренно, с приоритетом надёжности и лицензий. Решение по ставке — у ИИ-руководителя проекта/ИИ-экономиста (потолки).</t>
  </si>
  <si>
    <t xml:space="preserve">УПРЕЖДАЮЩИЙ РАЗБОР РИСКОВ + ГОРЯЧИЙ РЕЗЕРВ (СЦЕНАРИЙ Г) — по каждому пакету</t>
  </si>
  <si>
    <t xml:space="preserve">«Представь: субподрядчик ушёл с объекта через 2 недели — почему?» Уроки РСУ (перегруз/финотч.) и Каранайаула (нет резерва → потеря 7–10 дней). Резерв «в прогреве» = контакт есть, готовность 48–72 ч.</t>
  </si>
  <si>
    <t xml:space="preserve">Сценарий провала</t>
  </si>
  <si>
    <t xml:space="preserve">Тип</t>
  </si>
  <si>
    <t xml:space="preserve">Контрмера + резерв (сценарий Г)</t>
  </si>
  <si>
    <t xml:space="preserve">П-2: единственный местный лицензиат ФСБ (Парсек) занят/нет лицензии → срыв СОТ</t>
  </si>
  <si>
    <t xml:space="preserve">✅ ФАКТ-риск</t>
  </si>
  <si>
    <t xml:space="preserve">Резерв: ИСБ (Курган) + Связь-Проект/ВИДОК-СБ (Екб). Прогрев обоих. Проверить лицензии ПЕРВЫМ делом (первоочередная проверка).</t>
  </si>
  <si>
    <t xml:space="preserve">Кандидат идёт без финотчётности 2 года → перегруз/банкротство вскроется на объекте</t>
  </si>
  <si>
    <t xml:space="preserve">✅ ФАКТ-риск (урок РСУ)</t>
  </si>
  <si>
    <t xml:space="preserve">Финотчётность ГИР БО + арбитраж + ФССП — обязательный элемент. Без неё в финал не идёт. Мониторинг ежемесячно.</t>
  </si>
  <si>
    <t xml:space="preserve">П-1: подрядчик без опыта работ у путей → простои на «окнах» РЖД, ТБ-нарушения</t>
  </si>
  <si>
    <t xml:space="preserve">⚠ ПРЕДПОЛОЖ.</t>
  </si>
  <si>
    <t xml:space="preserve">Приоритет — подрядчик с ж/д опытом. Резерв: региональная ЭМ-бригада + ГНБ микро-субподряд отдельно.</t>
  </si>
  <si>
    <t xml:space="preserve">П-4: РЖД внезапно подтвердит вынос КС → а исполнителя ЭЧ нет наготове</t>
  </si>
  <si>
    <t xml:space="preserve">Контакт ЭЧ ЮУЖД держу «в прогреве». Порядок работ через РЖД уточнён с ИИ-договорником заранее. Готовность 48–72 ч.</t>
  </si>
  <si>
    <t xml:space="preserve">Демпинг: взяли самого дешёвого → качество/сроки на режимном объекте провалились</t>
  </si>
  <si>
    <t xml:space="preserve">Красная линия: цена не единственный критерий. Вес «лицензии+надёжность» ≥ веса цены. Дисконт умеренный (лист 08).</t>
  </si>
  <si>
    <t xml:space="preserve">Спецтехника (АГП/ГНБ) не забронирована к этапу → монтаж стоит</t>
  </si>
  <si>
    <t xml:space="preserve">❌ НЕИЗВЕСТНОЕ</t>
  </si>
  <si>
    <t xml:space="preserve">2 арендодателя АГП в Кургане в прогреве. ГНБ-подрядчик — законтрактовать заранее под окно этапа.</t>
  </si>
  <si>
    <t xml:space="preserve">Оборудование СОТ (давальческое) приходит поздно от заказчика → монтажник простаивает</t>
  </si>
  <si>
    <t xml:space="preserve">Синхронизация с ИИ-снабженцем: монтаж П-2 стартует только по факту поставки. График монтажа привязать к срок поставкиу (лист 11).</t>
  </si>
  <si>
    <t xml:space="preserve">ГОРЯЧИЙ РЕЗЕРВ — СВОДКА. П-2 СОТ: осн. Парсек (Курган) → резерв ИСБ (Курган) + Связь-Проект (Екб). П-1 ЭОМ: осн. ж/д-СМУ → резерв рег. ЭМ-бригада + Потенциал Электрик. П-4 КС: ЭЧ ЮУЖД (структурно). Спецтехника: 2 арендодателя Курган. Все резервы — «в прогреве», готовность 48–72 ч (стандарт v8). Ни один активный пакет не остаётся без второго кандидата.</t>
  </si>
  <si>
    <t xml:space="preserve">первоочередная проверка-ОБЗВОН 72 ЧАСА — ЧТО ЗАПРАШИВАЮ, У КОГО, К СРОКУ</t>
  </si>
  <si>
    <t xml:space="preserve">Стандарт v8: минимальный тест до полного тендера. 3 целевых звонка &lt; 72 ч. Если местный лицензиат готов и вписывается — полный тендер не нужен. Срок T0 (дата договора) в документах НЕ задан — сроки относительные от старта.</t>
  </si>
  <si>
    <t xml:space="preserve">Кому звоню / что делаю</t>
  </si>
  <si>
    <t xml:space="preserve">Что запрашиваю (жёстко)</t>
  </si>
  <si>
    <t xml:space="preserve">Срок</t>
  </si>
  <si>
    <t xml:space="preserve">Результат → кому</t>
  </si>
  <si>
    <t xml:space="preserve">СБ «Парсек» (Курган)</t>
  </si>
  <si>
    <t xml:space="preserve">Лицензии ФСБ/ФСТЭК (копии), СРО, финотч. 2 года, референс режимн./ж-д, КП на монтаж СОТ 11,09 млн</t>
  </si>
  <si>
    <t xml:space="preserve">T0+48 ч</t>
  </si>
  <si>
    <t xml:space="preserve">Отбор П-2 → ИИ-руководителю проекта</t>
  </si>
  <si>
    <t xml:space="preserve">ИСБ (Курган) + Связь-Проект (Екб)</t>
  </si>
  <si>
    <t xml:space="preserve">То же по СОТ — держать как резерв в прогреве</t>
  </si>
  <si>
    <t xml:space="preserve">T0+72 ч</t>
  </si>
  <si>
    <t xml:space="preserve">Резерв П-2 → реестр</t>
  </si>
  <si>
    <t xml:space="preserve">Реестр контрактов РЖД/ЮУЖД (zakupki)</t>
  </si>
  <si>
    <t xml:space="preserve">Найти подрядчиков с опытом ЭМ у путей ЮУЖД → 3 контакта П-1</t>
  </si>
  <si>
    <t xml:space="preserve">Отбор П-1 → ИИ-руководителю проекта</t>
  </si>
  <si>
    <t xml:space="preserve">Потенциал Электрик (Тюмень) + рег. ЭМ</t>
  </si>
  <si>
    <t xml:space="preserve">КП на СМР+монтаж ЭОМ 24,82 млн, СРО, финотч., опыт ГНБ</t>
  </si>
  <si>
    <t xml:space="preserve">ЭЧ ЮУЖД (через РЖД/ИИ-договорника)</t>
  </si>
  <si>
    <t xml:space="preserve">Порядок работ на КС в «окна», кто исполнитель, чьи риски простоя</t>
  </si>
  <si>
    <t xml:space="preserve">T0+5 дн</t>
  </si>
  <si>
    <t xml:space="preserve">Разблокировка П-4 → ИИ-руководителю проекта/ИИ-договорнику</t>
  </si>
  <si>
    <t xml:space="preserve">Арендодатели спецтехники (Курган)</t>
  </si>
  <si>
    <t xml:space="preserve">КП DDP: АГП смена, автокран, вибропогружатель/ГНБ</t>
  </si>
  <si>
    <t xml:space="preserve">Решение аренда/субподряд → ИИ-экономисту</t>
  </si>
  <si>
    <t xml:space="preserve">Синхронизация с ИИ-снабженцем</t>
  </si>
  <si>
    <t xml:space="preserve">Подтвердить: оборуд. СОТ давальческое? срок поставки поставки для графика монтажа П-2</t>
  </si>
  <si>
    <t xml:space="preserve">параллельно</t>
  </si>
  <si>
    <t xml:space="preserve">График монтажа → ИИ-администратору/ИИ-ПТО</t>
  </si>
  <si>
    <t xml:space="preserve">⚠ БЕЗ ДАТЫ ДОГОВОРА (T0) — сроки относительные. Как только ИИ-договорник даст дату подписания, первоочередная проверка пересчитывается в абсолютные даты. 4 абсолютных запрета v8 соблюдены: нет «в работе» без даты, нет «уточню» без плана — у каждой строки есть кому/что/когда.</t>
  </si>
  <si>
    <t xml:space="preserve">ПЕРЕДАЧИ СМЕЖНИКАМ КОМАНДЕ + АЛЕРТ ИИ-РУКОВОДИТЕЛЮ ПРОЕКТА</t>
  </si>
  <si>
    <t xml:space="preserve">Что несу дальше по конвейеру. Каждому — конкретная задача с денежным эффектом. Порядок ИИ-руководителя проекта: ИИ-ГИП → ИИ-сметчик → ИИ-снабженец/ИИ-подрядчик → ИИ-ПТО/ИИ-договорник → ИИ-экономист → ИИ-администратор.</t>
  </si>
  <si>
    <t xml:space="preserve">🚨 ПОДРЯДНЫЙ АЛЕРТ | 03.08.2026
Ситуация: реальный подрядный фронт — не 105 млн, а ~37 млн (сценарий Б). Блок «вынос КС» 64,71 млн — не открытый рынок, только ЭЧ РЖД, и заблокирован до ответа РЖД. СОТ упирается в лицензию ФСБ/ФСТЭК — рынок узкий, нашёл 1 местного лицензиата (Парсек).
Риск для объекта: тонкая маржа (красная линия 5%); дисконт — критический рычаг, но демпинг на режимном ж/д объекте запрещён.
Что уже делаю: ведомость распределения + отбор П-1/П-2 + первоочередная проверка-обзвон (72 ч) + прогрев резервов.
Нужно решение ИИ-руководителя проекта: (1) утвердить сценарий Б как базовый для подряда; (2) потолки по П-1/П-2 от ИИ-экономиста; (3) эскалация запроса в РЖД по КС (через ИИ-договорника).</t>
  </si>
  <si>
    <t xml:space="preserve">Кому</t>
  </si>
  <si>
    <t xml:space="preserve">Что несу / задача</t>
  </si>
  <si>
    <t xml:space="preserve">Приоритет</t>
  </si>
  <si>
    <t xml:space="preserve">→ ИИ-руководителю проекта (РП)</t>
  </si>
  <si>
    <t xml:space="preserve">Реальный фронт ~37 млн, не 105. Отбор П-1/П-2 готов (реш. за тобой). П-4 КС — блок до РЖД. Дисконт 5–7% = +1,86–2,60 млн. Рекомендую сценарий Б.</t>
  </si>
  <si>
    <t xml:space="preserve">КРИТ</t>
  </si>
  <si>
    <t xml:space="preserve">→ ИИ-экономисту (Эконом)</t>
  </si>
  <si>
    <t xml:space="preserve">Нужны потолки по П-1 (24,82 млн) и П-2 (11,09 млн) для торга. Дисконт 6% → +2,23 млн к марже (лист 08). Учесть: П-4 КС в подрядном бюджете НЕ считать выручкой.</t>
  </si>
  <si>
    <t xml:space="preserve">ВЫСОКИЙ</t>
  </si>
  <si>
    <t xml:space="preserve">← От ИИ-экономиста</t>
  </si>
  <si>
    <t xml:space="preserve">Целевые потолки цен по пакетам (после реиндекса ИИ-сметчика) — основа переговоров.</t>
  </si>
  <si>
    <t xml:space="preserve">→ ИИ-договорнику (Договор)</t>
  </si>
  <si>
    <t xml:space="preserve">(1) Порядок работ на КС через РЖД + чьи риски простоя по «окнам». (2) Данные субподрядчиков П-1/П-2 после отбор (ИНН/ОГРН/условия). (3) Давальческое оборуд. — зафиксировать в договоре. (4) Тип отношений — только подряд (гл.37 ГК).</t>
  </si>
  <si>
    <t xml:space="preserve">→ ИИ-ПТО (ПТО)</t>
  </si>
  <si>
    <t xml:space="preserve">ПТО-статус субподрядчиков: кто ведёт ИД. Требования допусков: лицензия ФСБ/ФСТЭК (СОТ), электробезопасность (ЭОМ), допуск ЭЧ (КС). Аккредит. электролаборатория для приёмки.</t>
  </si>
  <si>
    <t xml:space="preserve">СРЕДНИЙ</t>
  </si>
  <si>
    <t xml:space="preserve">↔ ИИ-снабженцу (Закуп)</t>
  </si>
  <si>
    <t xml:space="preserve">Разделение материал/монтаж: опоры/кабель/оборуд. — твоё; установка/монтаж — моё. Подтверди давальческое оборуд. СОТ + срок поставки → привяжу график монтажа П-2. Спецтехника: аренда локально.</t>
  </si>
  <si>
    <t xml:space="preserve">→ ИИ-сметчику (Сметчик)</t>
  </si>
  <si>
    <t xml:space="preserve">Коэф. рыночности подтверждаю: монтаж СОТ/ЭОМ — рынок узкий (лицензии), дисконт умеренный 5–7%, не 10–15%. Учесть при конъюнктуре. ПНР дубль 0,89 млн — снять (согласен).</t>
  </si>
  <si>
    <t xml:space="preserve">→ ИИ-администратору (Админ)</t>
  </si>
  <si>
    <t xml:space="preserve">В реестр поручений: статус пакетов (П-4 = блок), первоочередная проверка-сроки (относит. от T0), резервы в прогреве. График монтажа по факту поставки давальческого оборуд.</t>
  </si>
  <si>
    <t xml:space="preserve">ИНСАЙТ: реальный подряд Зауралья — не 105 млн, а ~37 млн; половина «денег» объекта (блок КС 64,7 млн) — не мой рынок, а ЭЧ РЖД, и её нельзя закрыть при КС-2. ДЕЙСТВИЕ: ИИ-руководитель проекта — утвердить сценарий Б + потолки от ИИ-экономиста; я — первоочередная проверка-обзвон 72 ч (Парсек по СОТ первым, лицензии). СЛЕДУЮЩИЙ ТАКТ: отбор с фактическими КП → ИИ-экономист собирает себес → возврат ИИ-руководителю проекта.
ИИ-подрядчик · СтройИнтеллект.Подряд v8.2 · 03.08.2026. Каждая цифра — с источником и датой. Реальные компании — веб-поиск 03.08.2026; фактические цены — по КП (первоочередная проверка).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</si>
</sst>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₽&quot;;[RED]\-#,##0&quot; ₽&quot;;\-"/>
    <numFmt numFmtId="166" formatCode="0.0%"/>
    <numFmt numFmtId="167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D6DCE5"/>
        <bgColor rgb="FFE2EFDA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8" hidden="false" customHeight="true" outlineLevel="0" collapsed="false">
      <c r="A4" s="3" t="s">
        <v>2</v>
      </c>
      <c r="B4" s="3"/>
      <c r="C4" s="3"/>
      <c r="D4" s="3"/>
    </row>
    <row r="5" customFormat="false" ht="45.75" hidden="false" customHeight="true" outlineLevel="0" collapsed="false">
      <c r="A5" s="4" t="s">
        <v>3</v>
      </c>
      <c r="B5" s="4"/>
      <c r="C5" s="4"/>
      <c r="D5" s="4"/>
    </row>
    <row r="6" customFormat="false" ht="45.75" hidden="false" customHeight="true" outlineLevel="0" collapsed="false">
      <c r="A6" s="4" t="s">
        <v>4</v>
      </c>
      <c r="B6" s="4"/>
      <c r="C6" s="4"/>
      <c r="D6" s="4"/>
    </row>
    <row r="7" customFormat="false" ht="45.75" hidden="false" customHeight="true" outlineLevel="0" collapsed="false">
      <c r="A7" s="5" t="s">
        <v>5</v>
      </c>
      <c r="B7" s="5"/>
      <c r="C7" s="5"/>
      <c r="D7" s="5"/>
    </row>
    <row r="8" customFormat="false" ht="45.75" hidden="false" customHeight="true" outlineLevel="0" collapsed="false">
      <c r="A8" s="6" t="s">
        <v>6</v>
      </c>
      <c r="B8" s="6"/>
      <c r="C8" s="6"/>
      <c r="D8" s="6"/>
    </row>
    <row r="10" customFormat="false" ht="15" hidden="false" customHeight="true" outlineLevel="0" collapsed="false">
      <c r="A10" s="7" t="s">
        <v>7</v>
      </c>
      <c r="B10" s="7"/>
      <c r="C10" s="7"/>
      <c r="D10" s="7"/>
    </row>
    <row r="11" customFormat="false" ht="15" hidden="false" customHeight="false" outlineLevel="0" collapsed="false">
      <c r="A11" s="8" t="s">
        <v>8</v>
      </c>
      <c r="B11" s="9" t="s">
        <v>9</v>
      </c>
      <c r="C11" s="10" t="s">
        <v>10</v>
      </c>
      <c r="D11" s="8" t="s">
        <v>11</v>
      </c>
    </row>
    <row r="12" customFormat="false" ht="22.35" hidden="false" customHeight="false" outlineLevel="0" collapsed="false">
      <c r="A12" s="11" t="s">
        <v>12</v>
      </c>
      <c r="B12" s="12" t="n">
        <v>128491484</v>
      </c>
      <c r="C12" s="13" t="s">
        <v>13</v>
      </c>
      <c r="D12" s="11" t="s">
        <v>14</v>
      </c>
    </row>
    <row r="13" customFormat="false" ht="15" hidden="false" customHeight="false" outlineLevel="0" collapsed="false">
      <c r="A13" s="11" t="s">
        <v>15</v>
      </c>
      <c r="B13" s="12" t="n">
        <v>107076237</v>
      </c>
      <c r="C13" s="13" t="s">
        <v>16</v>
      </c>
      <c r="D13" s="11" t="s">
        <v>17</v>
      </c>
    </row>
    <row r="14" customFormat="false" ht="22.35" hidden="false" customHeight="false" outlineLevel="0" collapsed="false">
      <c r="A14" s="11" t="s">
        <v>18</v>
      </c>
      <c r="B14" s="14" t="n">
        <v>64710398</v>
      </c>
      <c r="C14" s="13" t="s">
        <v>19</v>
      </c>
      <c r="D14" s="11" t="s">
        <v>20</v>
      </c>
    </row>
    <row r="15" customFormat="false" ht="22.35" hidden="false" customHeight="false" outlineLevel="0" collapsed="false">
      <c r="A15" s="11" t="s">
        <v>21</v>
      </c>
      <c r="B15" s="15" t="n">
        <v>37153599</v>
      </c>
      <c r="C15" s="13" t="s">
        <v>22</v>
      </c>
      <c r="D15" s="11" t="s">
        <v>23</v>
      </c>
    </row>
    <row r="16" customFormat="false" ht="15" hidden="false" customHeight="false" outlineLevel="0" collapsed="false">
      <c r="A16" s="11" t="s">
        <v>24</v>
      </c>
      <c r="B16" s="12" t="n">
        <v>24822167</v>
      </c>
      <c r="C16" s="13" t="s">
        <v>22</v>
      </c>
      <c r="D16" s="11" t="s">
        <v>25</v>
      </c>
    </row>
    <row r="17" customFormat="false" ht="22.35" hidden="false" customHeight="false" outlineLevel="0" collapsed="false">
      <c r="A17" s="11" t="s">
        <v>26</v>
      </c>
      <c r="B17" s="12" t="n">
        <v>11086179</v>
      </c>
      <c r="C17" s="13" t="s">
        <v>13</v>
      </c>
      <c r="D17" s="11" t="s">
        <v>27</v>
      </c>
    </row>
    <row r="18" customFormat="false" ht="15" hidden="false" customHeight="false" outlineLevel="0" collapsed="false">
      <c r="A18" s="11" t="s">
        <v>28</v>
      </c>
      <c r="B18" s="12" t="n">
        <v>1245253</v>
      </c>
      <c r="C18" s="13" t="s">
        <v>13</v>
      </c>
      <c r="D18" s="11" t="s">
        <v>29</v>
      </c>
    </row>
    <row r="19" customFormat="false" ht="15" hidden="false" customHeight="false" outlineLevel="0" collapsed="false">
      <c r="A19" s="11" t="s">
        <v>30</v>
      </c>
      <c r="B19" s="15" t="n">
        <v>2229216</v>
      </c>
      <c r="C19" s="13" t="s">
        <v>22</v>
      </c>
      <c r="D19" s="11" t="s">
        <v>31</v>
      </c>
    </row>
    <row r="20" customFormat="false" ht="15" hidden="false" customHeight="false" outlineLevel="0" collapsed="false">
      <c r="A20" s="11" t="s">
        <v>32</v>
      </c>
      <c r="B20" s="14" t="n">
        <v>64710398</v>
      </c>
      <c r="C20" s="13" t="s">
        <v>19</v>
      </c>
      <c r="D20" s="11" t="s">
        <v>33</v>
      </c>
    </row>
    <row r="22" customFormat="false" ht="15" hidden="false" customHeight="true" outlineLevel="0" collapsed="false">
      <c r="A22" s="7" t="s">
        <v>34</v>
      </c>
      <c r="B22" s="7"/>
      <c r="C22" s="7"/>
      <c r="D22" s="7"/>
    </row>
    <row r="23" customFormat="false" ht="15" hidden="false" customHeight="true" outlineLevel="0" collapsed="false">
      <c r="A23" s="16" t="s">
        <v>35</v>
      </c>
      <c r="B23" s="11" t="s">
        <v>36</v>
      </c>
      <c r="C23" s="11"/>
      <c r="D23" s="11"/>
    </row>
    <row r="24" customFormat="false" ht="15" hidden="false" customHeight="true" outlineLevel="0" collapsed="false">
      <c r="A24" s="16" t="s">
        <v>37</v>
      </c>
      <c r="B24" s="11" t="s">
        <v>38</v>
      </c>
      <c r="C24" s="11"/>
      <c r="D24" s="11"/>
    </row>
    <row r="25" customFormat="false" ht="15" hidden="false" customHeight="true" outlineLevel="0" collapsed="false">
      <c r="A25" s="16" t="s">
        <v>39</v>
      </c>
      <c r="B25" s="11" t="s">
        <v>40</v>
      </c>
      <c r="C25" s="11"/>
      <c r="D25" s="11"/>
    </row>
    <row r="26" customFormat="false" ht="15" hidden="false" customHeight="true" outlineLevel="0" collapsed="false">
      <c r="A26" s="16" t="s">
        <v>41</v>
      </c>
      <c r="B26" s="11" t="s">
        <v>42</v>
      </c>
      <c r="C26" s="11"/>
      <c r="D26" s="11"/>
    </row>
    <row r="27" customFormat="false" ht="15" hidden="false" customHeight="true" outlineLevel="0" collapsed="false">
      <c r="A27" s="16" t="s">
        <v>43</v>
      </c>
      <c r="B27" s="11" t="s">
        <v>44</v>
      </c>
      <c r="C27" s="11"/>
      <c r="D27" s="11"/>
    </row>
    <row r="28" customFormat="false" ht="15" hidden="false" customHeight="true" outlineLevel="0" collapsed="false">
      <c r="A28" s="16" t="s">
        <v>45</v>
      </c>
      <c r="B28" s="11" t="s">
        <v>46</v>
      </c>
      <c r="C28" s="11"/>
      <c r="D28" s="11"/>
    </row>
    <row r="29" customFormat="false" ht="15" hidden="false" customHeight="true" outlineLevel="0" collapsed="false">
      <c r="A29" s="16" t="s">
        <v>47</v>
      </c>
      <c r="B29" s="11" t="s">
        <v>48</v>
      </c>
      <c r="C29" s="11"/>
      <c r="D29" s="11"/>
    </row>
    <row r="30" customFormat="false" ht="15" hidden="false" customHeight="true" outlineLevel="0" collapsed="false">
      <c r="A30" s="16" t="s">
        <v>49</v>
      </c>
      <c r="B30" s="11" t="s">
        <v>50</v>
      </c>
      <c r="C30" s="11"/>
      <c r="D30" s="11"/>
    </row>
    <row r="31" customFormat="false" ht="15" hidden="false" customHeight="true" outlineLevel="0" collapsed="false">
      <c r="A31" s="16" t="s">
        <v>51</v>
      </c>
      <c r="B31" s="11" t="s">
        <v>52</v>
      </c>
      <c r="C31" s="11"/>
      <c r="D31" s="11"/>
    </row>
    <row r="32" customFormat="false" ht="15" hidden="false" customHeight="true" outlineLevel="0" collapsed="false">
      <c r="A32" s="16" t="s">
        <v>53</v>
      </c>
      <c r="B32" s="11" t="s">
        <v>54</v>
      </c>
      <c r="C32" s="11"/>
      <c r="D32" s="11"/>
    </row>
    <row r="33" customFormat="false" ht="15" hidden="false" customHeight="true" outlineLevel="0" collapsed="false">
      <c r="A33" s="16" t="s">
        <v>55</v>
      </c>
      <c r="B33" s="11" t="s">
        <v>56</v>
      </c>
      <c r="C33" s="11"/>
      <c r="D33" s="11"/>
    </row>
    <row r="35" customFormat="false" ht="60" hidden="false" customHeight="true" outlineLevel="0" collapsed="false">
      <c r="A35" s="17" t="s">
        <v>57</v>
      </c>
      <c r="B35" s="17"/>
      <c r="C35" s="17"/>
      <c r="D35" s="17"/>
    </row>
  </sheetData>
  <mergeCells count="21">
    <mergeCell ref="A1:D1"/>
    <mergeCell ref="A2:D2"/>
    <mergeCell ref="A4:D4"/>
    <mergeCell ref="A5:D5"/>
    <mergeCell ref="A6:D6"/>
    <mergeCell ref="A7:D7"/>
    <mergeCell ref="A8:D8"/>
    <mergeCell ref="A10:D10"/>
    <mergeCell ref="A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59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8" t="s">
        <v>60</v>
      </c>
      <c r="B4" s="18" t="s">
        <v>61</v>
      </c>
      <c r="C4" s="18" t="s">
        <v>62</v>
      </c>
      <c r="D4" s="18" t="s">
        <v>63</v>
      </c>
      <c r="E4" s="18" t="s">
        <v>64</v>
      </c>
      <c r="F4" s="18" t="s">
        <v>65</v>
      </c>
      <c r="G4" s="18" t="s">
        <v>66</v>
      </c>
    </row>
    <row r="5" customFormat="false" ht="42" hidden="false" customHeight="true" outlineLevel="0" collapsed="false">
      <c r="A5" s="19" t="s">
        <v>67</v>
      </c>
      <c r="B5" s="11" t="s">
        <v>68</v>
      </c>
      <c r="C5" s="11" t="s">
        <v>69</v>
      </c>
      <c r="D5" s="19" t="s">
        <v>70</v>
      </c>
      <c r="E5" s="19" t="s">
        <v>71</v>
      </c>
      <c r="F5" s="19" t="s">
        <v>72</v>
      </c>
      <c r="G5" s="11" t="s">
        <v>73</v>
      </c>
    </row>
    <row r="6" customFormat="false" ht="42" hidden="false" customHeight="true" outlineLevel="0" collapsed="false">
      <c r="A6" s="19" t="s">
        <v>74</v>
      </c>
      <c r="B6" s="11" t="s">
        <v>75</v>
      </c>
      <c r="C6" s="11" t="s">
        <v>76</v>
      </c>
      <c r="D6" s="19" t="s">
        <v>77</v>
      </c>
      <c r="E6" s="20" t="s">
        <v>72</v>
      </c>
      <c r="F6" s="20" t="s">
        <v>78</v>
      </c>
      <c r="G6" s="11" t="s">
        <v>79</v>
      </c>
    </row>
    <row r="7" customFormat="false" ht="42" hidden="false" customHeight="true" outlineLevel="0" collapsed="false">
      <c r="A7" s="19" t="s">
        <v>80</v>
      </c>
      <c r="B7" s="11" t="s">
        <v>81</v>
      </c>
      <c r="C7" s="11" t="s">
        <v>82</v>
      </c>
      <c r="D7" s="19" t="s">
        <v>83</v>
      </c>
      <c r="E7" s="20" t="s">
        <v>72</v>
      </c>
      <c r="F7" s="20" t="s">
        <v>78</v>
      </c>
      <c r="G7" s="11" t="s">
        <v>84</v>
      </c>
    </row>
    <row r="8" customFormat="false" ht="42" hidden="false" customHeight="true" outlineLevel="0" collapsed="false">
      <c r="A8" s="19" t="s">
        <v>85</v>
      </c>
      <c r="B8" s="11" t="s">
        <v>86</v>
      </c>
      <c r="C8" s="11" t="s">
        <v>87</v>
      </c>
      <c r="D8" s="19" t="s">
        <v>88</v>
      </c>
      <c r="E8" s="20" t="s">
        <v>72</v>
      </c>
      <c r="F8" s="20" t="s">
        <v>78</v>
      </c>
      <c r="G8" s="11" t="s">
        <v>89</v>
      </c>
    </row>
    <row r="9" customFormat="false" ht="42" hidden="false" customHeight="true" outlineLevel="0" collapsed="false">
      <c r="A9" s="19" t="s">
        <v>90</v>
      </c>
      <c r="B9" s="11" t="s">
        <v>91</v>
      </c>
      <c r="C9" s="11" t="s">
        <v>92</v>
      </c>
      <c r="D9" s="19" t="s">
        <v>93</v>
      </c>
      <c r="E9" s="19" t="s">
        <v>94</v>
      </c>
      <c r="F9" s="19" t="s">
        <v>94</v>
      </c>
      <c r="G9" s="11" t="s">
        <v>95</v>
      </c>
    </row>
    <row r="10" customFormat="false" ht="42" hidden="false" customHeight="true" outlineLevel="0" collapsed="false">
      <c r="A10" s="19" t="s">
        <v>96</v>
      </c>
      <c r="B10" s="11" t="s">
        <v>97</v>
      </c>
      <c r="C10" s="11" t="s">
        <v>98</v>
      </c>
      <c r="D10" s="19" t="s">
        <v>99</v>
      </c>
      <c r="E10" s="21" t="s">
        <v>72</v>
      </c>
      <c r="F10" s="21" t="s">
        <v>100</v>
      </c>
      <c r="G10" s="11" t="s">
        <v>101</v>
      </c>
    </row>
    <row r="11" customFormat="false" ht="42" hidden="false" customHeight="true" outlineLevel="0" collapsed="false">
      <c r="A11" s="19" t="s">
        <v>102</v>
      </c>
      <c r="B11" s="11" t="s">
        <v>103</v>
      </c>
      <c r="C11" s="11" t="s">
        <v>104</v>
      </c>
      <c r="D11" s="19" t="s">
        <v>105</v>
      </c>
      <c r="E11" s="19" t="s">
        <v>106</v>
      </c>
      <c r="F11" s="19" t="s">
        <v>106</v>
      </c>
      <c r="G11" s="11" t="s">
        <v>107</v>
      </c>
    </row>
    <row r="13" customFormat="false" ht="42" hidden="false" customHeight="true" outlineLevel="0" collapsed="false">
      <c r="A13" s="22" t="s">
        <v>108</v>
      </c>
      <c r="B13" s="22"/>
      <c r="C13" s="22"/>
      <c r="D13" s="22"/>
      <c r="E13" s="22"/>
      <c r="F13" s="22"/>
      <c r="G13" s="22"/>
    </row>
  </sheetData>
  <mergeCells count="3">
    <mergeCell ref="A1:G1"/>
    <mergeCell ref="A2:G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8" t="s">
        <v>111</v>
      </c>
      <c r="B4" s="18" t="s">
        <v>112</v>
      </c>
      <c r="C4" s="18" t="s">
        <v>113</v>
      </c>
      <c r="D4" s="18" t="s">
        <v>114</v>
      </c>
      <c r="E4" s="18" t="s">
        <v>115</v>
      </c>
      <c r="F4" s="18" t="s">
        <v>116</v>
      </c>
      <c r="G4" s="18" t="s">
        <v>10</v>
      </c>
    </row>
    <row r="5" customFormat="false" ht="51.75" hidden="false" customHeight="true" outlineLevel="0" collapsed="false">
      <c r="A5" s="23" t="s">
        <v>117</v>
      </c>
      <c r="B5" s="11" t="s">
        <v>118</v>
      </c>
      <c r="C5" s="11" t="s">
        <v>119</v>
      </c>
      <c r="D5" s="12" t="n">
        <v>24822167</v>
      </c>
      <c r="E5" s="11" t="s">
        <v>120</v>
      </c>
      <c r="F5" s="11" t="s">
        <v>121</v>
      </c>
      <c r="G5" s="13" t="s">
        <v>122</v>
      </c>
    </row>
    <row r="6" customFormat="false" ht="51.75" hidden="false" customHeight="true" outlineLevel="0" collapsed="false">
      <c r="A6" s="24" t="s">
        <v>123</v>
      </c>
      <c r="B6" s="25" t="s">
        <v>124</v>
      </c>
      <c r="C6" s="25" t="s">
        <v>125</v>
      </c>
      <c r="D6" s="26" t="n">
        <v>11086179</v>
      </c>
      <c r="E6" s="25" t="s">
        <v>126</v>
      </c>
      <c r="F6" s="25" t="s">
        <v>127</v>
      </c>
      <c r="G6" s="27" t="s">
        <v>128</v>
      </c>
    </row>
    <row r="7" customFormat="false" ht="51.75" hidden="false" customHeight="true" outlineLevel="0" collapsed="false">
      <c r="A7" s="23" t="s">
        <v>129</v>
      </c>
      <c r="B7" s="11" t="s">
        <v>130</v>
      </c>
      <c r="C7" s="11" t="s">
        <v>131</v>
      </c>
      <c r="D7" s="12" t="n">
        <v>1245253</v>
      </c>
      <c r="E7" s="11" t="s">
        <v>132</v>
      </c>
      <c r="F7" s="11" t="s">
        <v>133</v>
      </c>
      <c r="G7" s="13" t="s">
        <v>122</v>
      </c>
    </row>
    <row r="8" customFormat="false" ht="51.75" hidden="false" customHeight="true" outlineLevel="0" collapsed="false">
      <c r="A8" s="28" t="s">
        <v>134</v>
      </c>
      <c r="B8" s="29" t="s">
        <v>97</v>
      </c>
      <c r="C8" s="29" t="s">
        <v>135</v>
      </c>
      <c r="D8" s="30" t="n">
        <v>64710398</v>
      </c>
      <c r="E8" s="29" t="s">
        <v>136</v>
      </c>
      <c r="F8" s="29" t="s">
        <v>137</v>
      </c>
      <c r="G8" s="31" t="s">
        <v>138</v>
      </c>
    </row>
    <row r="9" customFormat="false" ht="15" hidden="false" customHeight="true" outlineLevel="0" collapsed="false">
      <c r="A9" s="10" t="s">
        <v>139</v>
      </c>
      <c r="B9" s="8" t="s">
        <v>140</v>
      </c>
      <c r="C9" s="8"/>
      <c r="D9" s="32" t="n">
        <f aca="false">SUM(D5:D7)</f>
        <v>37153599</v>
      </c>
      <c r="E9" s="33" t="s">
        <v>141</v>
      </c>
      <c r="F9" s="33"/>
      <c r="G9" s="33"/>
    </row>
    <row r="10" customFormat="false" ht="15" hidden="false" customHeight="true" outlineLevel="0" collapsed="false">
      <c r="A10" s="28" t="s">
        <v>139</v>
      </c>
      <c r="B10" s="34" t="s">
        <v>142</v>
      </c>
      <c r="C10" s="34"/>
      <c r="D10" s="35" t="n">
        <f aca="false">SUM(D5:D8)</f>
        <v>101863997</v>
      </c>
      <c r="E10" s="36" t="s">
        <v>143</v>
      </c>
      <c r="F10" s="36"/>
      <c r="G10" s="36"/>
    </row>
    <row r="12" customFormat="false" ht="43.5" hidden="false" customHeight="true" outlineLevel="0" collapsed="false">
      <c r="A12" s="22" t="s">
        <v>144</v>
      </c>
      <c r="B12" s="22"/>
      <c r="C12" s="22"/>
      <c r="D12" s="22"/>
      <c r="E12" s="22"/>
      <c r="F12" s="22"/>
      <c r="G12" s="22"/>
    </row>
  </sheetData>
  <mergeCells count="7">
    <mergeCell ref="A1:G1"/>
    <mergeCell ref="A2:G2"/>
    <mergeCell ref="B9:C9"/>
    <mergeCell ref="E9:G9"/>
    <mergeCell ref="B10:C10"/>
    <mergeCell ref="E10:G10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5" min="3" style="0" width="24"/>
  </cols>
  <sheetData>
    <row r="1" customFormat="false" ht="25.5" hidden="false" customHeight="true" outlineLevel="0" collapsed="false">
      <c r="A1" s="1" t="s">
        <v>145</v>
      </c>
      <c r="B1" s="1"/>
      <c r="C1" s="1"/>
      <c r="D1" s="1"/>
      <c r="E1" s="1"/>
    </row>
    <row r="2" customFormat="false" ht="30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7" t="s">
        <v>147</v>
      </c>
      <c r="B4" s="7"/>
      <c r="C4" s="7"/>
      <c r="D4" s="7"/>
      <c r="E4" s="7"/>
    </row>
    <row r="5" customFormat="false" ht="23.85" hidden="false" customHeight="true" outlineLevel="0" collapsed="false">
      <c r="A5" s="8" t="s">
        <v>148</v>
      </c>
      <c r="B5" s="8"/>
      <c r="C5" s="24" t="s">
        <v>149</v>
      </c>
      <c r="D5" s="10" t="s">
        <v>150</v>
      </c>
      <c r="E5" s="10" t="s">
        <v>151</v>
      </c>
    </row>
    <row r="6" customFormat="false" ht="15" hidden="false" customHeight="true" outlineLevel="0" collapsed="false">
      <c r="A6" s="37" t="s">
        <v>152</v>
      </c>
      <c r="B6" s="37"/>
      <c r="C6" s="11" t="s">
        <v>153</v>
      </c>
      <c r="D6" s="11" t="s">
        <v>153</v>
      </c>
      <c r="E6" s="11" t="s">
        <v>154</v>
      </c>
    </row>
    <row r="7" customFormat="false" ht="22.35" hidden="false" customHeight="true" outlineLevel="0" collapsed="false">
      <c r="A7" s="37" t="s">
        <v>155</v>
      </c>
      <c r="B7" s="37"/>
      <c r="C7" s="11" t="s">
        <v>156</v>
      </c>
      <c r="D7" s="11" t="s">
        <v>157</v>
      </c>
      <c r="E7" s="11" t="s">
        <v>158</v>
      </c>
    </row>
    <row r="8" customFormat="false" ht="22.35" hidden="false" customHeight="true" outlineLevel="0" collapsed="false">
      <c r="A8" s="37" t="s">
        <v>159</v>
      </c>
      <c r="B8" s="37"/>
      <c r="C8" s="11" t="s">
        <v>160</v>
      </c>
      <c r="D8" s="11" t="s">
        <v>161</v>
      </c>
      <c r="E8" s="11" t="s">
        <v>162</v>
      </c>
    </row>
    <row r="9" customFormat="false" ht="22.35" hidden="false" customHeight="true" outlineLevel="0" collapsed="false">
      <c r="A9" s="37" t="s">
        <v>163</v>
      </c>
      <c r="B9" s="37"/>
      <c r="C9" s="11" t="s">
        <v>164</v>
      </c>
      <c r="D9" s="11" t="s">
        <v>165</v>
      </c>
      <c r="E9" s="11" t="s">
        <v>165</v>
      </c>
    </row>
    <row r="10" customFormat="false" ht="15" hidden="false" customHeight="true" outlineLevel="0" collapsed="false">
      <c r="A10" s="37" t="s">
        <v>166</v>
      </c>
      <c r="B10" s="37"/>
      <c r="C10" s="11" t="s">
        <v>167</v>
      </c>
      <c r="D10" s="11" t="s">
        <v>167</v>
      </c>
      <c r="E10" s="11" t="s">
        <v>168</v>
      </c>
    </row>
    <row r="11" customFormat="false" ht="15" hidden="false" customHeight="true" outlineLevel="0" collapsed="false">
      <c r="A11" s="37" t="s">
        <v>169</v>
      </c>
      <c r="B11" s="37"/>
      <c r="C11" s="11" t="s">
        <v>170</v>
      </c>
      <c r="D11" s="11" t="s">
        <v>171</v>
      </c>
      <c r="E11" s="11" t="s">
        <v>172</v>
      </c>
    </row>
    <row r="13" customFormat="false" ht="25.5" hidden="false" customHeight="true" outlineLevel="0" collapsed="false">
      <c r="A13" s="7" t="s">
        <v>173</v>
      </c>
      <c r="B13" s="7"/>
      <c r="C13" s="7"/>
      <c r="D13" s="7"/>
      <c r="E13" s="7"/>
    </row>
    <row r="14" customFormat="false" ht="15" hidden="false" customHeight="false" outlineLevel="0" collapsed="false">
      <c r="A14" s="8" t="s">
        <v>174</v>
      </c>
      <c r="B14" s="10" t="s">
        <v>175</v>
      </c>
      <c r="C14" s="10" t="s">
        <v>176</v>
      </c>
      <c r="D14" s="10" t="s">
        <v>177</v>
      </c>
      <c r="E14" s="10" t="s">
        <v>178</v>
      </c>
    </row>
    <row r="15" customFormat="false" ht="15" hidden="false" customHeight="false" outlineLevel="0" collapsed="false">
      <c r="A15" s="11" t="s">
        <v>179</v>
      </c>
      <c r="B15" s="38" t="n">
        <v>0.25</v>
      </c>
      <c r="C15" s="39" t="n">
        <v>3</v>
      </c>
      <c r="D15" s="39" t="n">
        <v>3</v>
      </c>
      <c r="E15" s="39" t="n">
        <v>3</v>
      </c>
    </row>
    <row r="16" customFormat="false" ht="15" hidden="false" customHeight="false" outlineLevel="0" collapsed="false">
      <c r="A16" s="11" t="s">
        <v>159</v>
      </c>
      <c r="B16" s="38" t="n">
        <v>0.25</v>
      </c>
      <c r="C16" s="39" t="n">
        <v>5</v>
      </c>
      <c r="D16" s="39" t="n">
        <v>3</v>
      </c>
      <c r="E16" s="39" t="n">
        <v>3</v>
      </c>
    </row>
    <row r="17" customFormat="false" ht="15" hidden="false" customHeight="false" outlineLevel="0" collapsed="false">
      <c r="A17" s="11" t="s">
        <v>180</v>
      </c>
      <c r="B17" s="38" t="n">
        <v>0.2</v>
      </c>
      <c r="C17" s="39" t="n">
        <v>4</v>
      </c>
      <c r="D17" s="39" t="n">
        <v>3</v>
      </c>
      <c r="E17" s="39" t="n">
        <v>4</v>
      </c>
    </row>
    <row r="18" customFormat="false" ht="15" hidden="false" customHeight="false" outlineLevel="0" collapsed="false">
      <c r="A18" s="11" t="s">
        <v>181</v>
      </c>
      <c r="B18" s="38" t="n">
        <v>0.15</v>
      </c>
      <c r="C18" s="39" t="n">
        <v>5</v>
      </c>
      <c r="D18" s="39" t="n">
        <v>5</v>
      </c>
      <c r="E18" s="39" t="n">
        <v>3</v>
      </c>
    </row>
    <row r="19" customFormat="false" ht="15" hidden="false" customHeight="false" outlineLevel="0" collapsed="false">
      <c r="A19" s="11" t="s">
        <v>182</v>
      </c>
      <c r="B19" s="38" t="n">
        <v>0.15</v>
      </c>
      <c r="C19" s="39" t="n">
        <v>3</v>
      </c>
      <c r="D19" s="39" t="n">
        <v>3</v>
      </c>
      <c r="E19" s="39" t="n">
        <v>3</v>
      </c>
    </row>
    <row r="20" customFormat="false" ht="15" hidden="false" customHeight="false" outlineLevel="0" collapsed="false">
      <c r="A20" s="40" t="s">
        <v>183</v>
      </c>
      <c r="B20" s="41" t="n">
        <f aca="false">SUM(B15:B19)</f>
        <v>1</v>
      </c>
      <c r="C20" s="42" t="n">
        <f aca="false">SUMPRODUCT($B15:$B19,C15:C19)</f>
        <v>4</v>
      </c>
      <c r="D20" s="42" t="n">
        <f aca="false">SUMPRODUCT($B15:$B19,D15:D19)</f>
        <v>3.3</v>
      </c>
      <c r="E20" s="42" t="n">
        <f aca="false">SUMPRODUCT($B15:$B19,E15:E19)</f>
        <v>3.2</v>
      </c>
    </row>
    <row r="21" customFormat="false" ht="15" hidden="false" customHeight="false" outlineLevel="0" collapsed="false">
      <c r="A21" s="8" t="s">
        <v>184</v>
      </c>
      <c r="B21" s="43"/>
      <c r="C21" s="24" t="s">
        <v>185</v>
      </c>
      <c r="D21" s="44" t="s">
        <v>186</v>
      </c>
      <c r="E21" s="44" t="s">
        <v>187</v>
      </c>
    </row>
    <row r="23" customFormat="false" ht="63.75" hidden="false" customHeight="true" outlineLevel="0" collapsed="false">
      <c r="A23" s="45" t="s">
        <v>188</v>
      </c>
      <c r="B23" s="45"/>
      <c r="C23" s="45"/>
      <c r="D23" s="45"/>
      <c r="E23" s="45"/>
    </row>
  </sheetData>
  <mergeCells count="12">
    <mergeCell ref="A1:E1"/>
    <mergeCell ref="A2:E2"/>
    <mergeCell ref="A4:E4"/>
    <mergeCell ref="A5:B5"/>
    <mergeCell ref="A6:B6"/>
    <mergeCell ref="A7:B7"/>
    <mergeCell ref="A8:B8"/>
    <mergeCell ref="A9:B9"/>
    <mergeCell ref="A10:B10"/>
    <mergeCell ref="A11:B11"/>
    <mergeCell ref="A13:E13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5" min="3" style="0" width="24"/>
  </cols>
  <sheetData>
    <row r="1" customFormat="false" ht="25.5" hidden="false" customHeight="true" outlineLevel="0" collapsed="false">
      <c r="A1" s="1" t="s">
        <v>189</v>
      </c>
      <c r="B1" s="1"/>
      <c r="C1" s="1"/>
      <c r="D1" s="1"/>
      <c r="E1" s="1"/>
    </row>
    <row r="2" customFormat="false" ht="30" hidden="false" customHeight="true" outlineLevel="0" collapsed="false">
      <c r="A2" s="2" t="s">
        <v>190</v>
      </c>
      <c r="B2" s="2"/>
      <c r="C2" s="2"/>
      <c r="D2" s="2"/>
      <c r="E2" s="2"/>
    </row>
    <row r="4" customFormat="false" ht="15" hidden="false" customHeight="true" outlineLevel="0" collapsed="false">
      <c r="A4" s="7" t="s">
        <v>191</v>
      </c>
      <c r="B4" s="7"/>
      <c r="C4" s="7"/>
      <c r="D4" s="7"/>
      <c r="E4" s="7"/>
    </row>
    <row r="5" customFormat="false" ht="23.85" hidden="false" customHeight="true" outlineLevel="0" collapsed="false">
      <c r="A5" s="8" t="s">
        <v>148</v>
      </c>
      <c r="B5" s="8"/>
      <c r="C5" s="10" t="s">
        <v>192</v>
      </c>
      <c r="D5" s="10" t="s">
        <v>193</v>
      </c>
      <c r="E5" s="10" t="s">
        <v>194</v>
      </c>
    </row>
    <row r="6" customFormat="false" ht="15" hidden="false" customHeight="true" outlineLevel="0" collapsed="false">
      <c r="A6" s="37" t="s">
        <v>152</v>
      </c>
      <c r="B6" s="37"/>
      <c r="C6" s="11" t="s">
        <v>195</v>
      </c>
      <c r="D6" s="11" t="s">
        <v>196</v>
      </c>
      <c r="E6" s="11" t="s">
        <v>197</v>
      </c>
    </row>
    <row r="7" customFormat="false" ht="22.35" hidden="false" customHeight="true" outlineLevel="0" collapsed="false">
      <c r="A7" s="37" t="s">
        <v>155</v>
      </c>
      <c r="B7" s="37"/>
      <c r="C7" s="11" t="s">
        <v>198</v>
      </c>
      <c r="D7" s="11" t="s">
        <v>199</v>
      </c>
      <c r="E7" s="11" t="s">
        <v>200</v>
      </c>
    </row>
    <row r="8" customFormat="false" ht="22.35" hidden="false" customHeight="true" outlineLevel="0" collapsed="false">
      <c r="A8" s="37" t="s">
        <v>201</v>
      </c>
      <c r="B8" s="37"/>
      <c r="C8" s="11" t="s">
        <v>202</v>
      </c>
      <c r="D8" s="11" t="s">
        <v>162</v>
      </c>
      <c r="E8" s="11" t="s">
        <v>203</v>
      </c>
    </row>
    <row r="9" customFormat="false" ht="15" hidden="false" customHeight="true" outlineLevel="0" collapsed="false">
      <c r="A9" s="37" t="s">
        <v>204</v>
      </c>
      <c r="B9" s="37"/>
      <c r="C9" s="11" t="s">
        <v>205</v>
      </c>
      <c r="D9" s="11" t="s">
        <v>206</v>
      </c>
      <c r="E9" s="11" t="s">
        <v>207</v>
      </c>
    </row>
    <row r="10" customFormat="false" ht="15" hidden="false" customHeight="true" outlineLevel="0" collapsed="false">
      <c r="A10" s="37" t="s">
        <v>208</v>
      </c>
      <c r="B10" s="37"/>
      <c r="C10" s="11" t="s">
        <v>209</v>
      </c>
      <c r="D10" s="11" t="s">
        <v>206</v>
      </c>
      <c r="E10" s="11" t="s">
        <v>206</v>
      </c>
    </row>
    <row r="11" customFormat="false" ht="15" hidden="false" customHeight="true" outlineLevel="0" collapsed="false">
      <c r="A11" s="37" t="s">
        <v>169</v>
      </c>
      <c r="B11" s="37"/>
      <c r="C11" s="11" t="s">
        <v>210</v>
      </c>
      <c r="D11" s="11" t="s">
        <v>211</v>
      </c>
      <c r="E11" s="11" t="s">
        <v>212</v>
      </c>
    </row>
    <row r="13" customFormat="false" ht="15" hidden="false" customHeight="true" outlineLevel="0" collapsed="false">
      <c r="A13" s="7" t="s">
        <v>213</v>
      </c>
      <c r="B13" s="7"/>
      <c r="C13" s="7"/>
      <c r="D13" s="7"/>
      <c r="E13" s="7"/>
    </row>
    <row r="14" customFormat="false" ht="15" hidden="false" customHeight="false" outlineLevel="0" collapsed="false">
      <c r="A14" s="8" t="s">
        <v>174</v>
      </c>
      <c r="B14" s="10" t="s">
        <v>175</v>
      </c>
      <c r="C14" s="10" t="s">
        <v>214</v>
      </c>
      <c r="D14" s="10" t="s">
        <v>215</v>
      </c>
      <c r="E14" s="10" t="s">
        <v>216</v>
      </c>
    </row>
    <row r="15" customFormat="false" ht="15" hidden="false" customHeight="false" outlineLevel="0" collapsed="false">
      <c r="A15" s="11" t="s">
        <v>179</v>
      </c>
      <c r="B15" s="38" t="n">
        <v>0.3</v>
      </c>
      <c r="C15" s="39" t="n">
        <v>3</v>
      </c>
      <c r="D15" s="39" t="n">
        <v>3</v>
      </c>
      <c r="E15" s="39" t="n">
        <v>3</v>
      </c>
    </row>
    <row r="16" customFormat="false" ht="15" hidden="false" customHeight="false" outlineLevel="0" collapsed="false">
      <c r="A16" s="11" t="s">
        <v>217</v>
      </c>
      <c r="B16" s="38" t="n">
        <v>0.25</v>
      </c>
      <c r="C16" s="39" t="n">
        <v>2</v>
      </c>
      <c r="D16" s="39" t="n">
        <v>2</v>
      </c>
      <c r="E16" s="39" t="n">
        <v>5</v>
      </c>
    </row>
    <row r="17" customFormat="false" ht="15" hidden="false" customHeight="false" outlineLevel="0" collapsed="false">
      <c r="A17" s="11" t="s">
        <v>218</v>
      </c>
      <c r="B17" s="38" t="n">
        <v>0.2</v>
      </c>
      <c r="C17" s="39" t="n">
        <v>3</v>
      </c>
      <c r="D17" s="39" t="n">
        <v>3</v>
      </c>
      <c r="E17" s="39" t="n">
        <v>4</v>
      </c>
    </row>
    <row r="18" customFormat="false" ht="15" hidden="false" customHeight="false" outlineLevel="0" collapsed="false">
      <c r="A18" s="11" t="s">
        <v>181</v>
      </c>
      <c r="B18" s="38" t="n">
        <v>0.15</v>
      </c>
      <c r="C18" s="39" t="n">
        <v>4</v>
      </c>
      <c r="D18" s="39" t="n">
        <v>5</v>
      </c>
      <c r="E18" s="39" t="n">
        <v>3</v>
      </c>
    </row>
    <row r="19" customFormat="false" ht="15" hidden="false" customHeight="false" outlineLevel="0" collapsed="false">
      <c r="A19" s="11" t="s">
        <v>182</v>
      </c>
      <c r="B19" s="38" t="n">
        <v>0.1</v>
      </c>
      <c r="C19" s="39" t="n">
        <v>3</v>
      </c>
      <c r="D19" s="39" t="n">
        <v>3</v>
      </c>
      <c r="E19" s="39" t="n">
        <v>3</v>
      </c>
    </row>
    <row r="20" customFormat="false" ht="15" hidden="false" customHeight="false" outlineLevel="0" collapsed="false">
      <c r="A20" s="40" t="s">
        <v>183</v>
      </c>
      <c r="B20" s="41" t="n">
        <f aca="false">SUM(B15:B19)</f>
        <v>1</v>
      </c>
      <c r="C20" s="42" t="n">
        <f aca="false">SUMPRODUCT($B15:$B19,C15:C19)</f>
        <v>2.9</v>
      </c>
      <c r="D20" s="42" t="n">
        <f aca="false">SUMPRODUCT($B15:$B19,D15:D19)</f>
        <v>3.05</v>
      </c>
      <c r="E20" s="42" t="n">
        <f aca="false">SUMPRODUCT($B15:$B19,E15:E19)</f>
        <v>3.7</v>
      </c>
    </row>
    <row r="21" customFormat="false" ht="15" hidden="false" customHeight="false" outlineLevel="0" collapsed="false">
      <c r="A21" s="8" t="s">
        <v>184</v>
      </c>
      <c r="B21" s="43"/>
      <c r="C21" s="44" t="s">
        <v>186</v>
      </c>
      <c r="D21" s="44" t="s">
        <v>219</v>
      </c>
      <c r="E21" s="24" t="s">
        <v>220</v>
      </c>
    </row>
    <row r="23" customFormat="false" ht="63.75" hidden="false" customHeight="true" outlineLevel="0" collapsed="false">
      <c r="A23" s="45" t="s">
        <v>221</v>
      </c>
      <c r="B23" s="45"/>
      <c r="C23" s="45"/>
      <c r="D23" s="45"/>
      <c r="E23" s="45"/>
    </row>
  </sheetData>
  <mergeCells count="12">
    <mergeCell ref="A1:E1"/>
    <mergeCell ref="A2:E2"/>
    <mergeCell ref="A4:E4"/>
    <mergeCell ref="A5:B5"/>
    <mergeCell ref="A6:B6"/>
    <mergeCell ref="A7:B7"/>
    <mergeCell ref="A8:B8"/>
    <mergeCell ref="A9:B9"/>
    <mergeCell ref="A10:B10"/>
    <mergeCell ref="A11:B11"/>
    <mergeCell ref="A13:E13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5.5" hidden="false" customHeight="true" outlineLevel="0" collapsed="false">
      <c r="A1" s="1" t="s">
        <v>222</v>
      </c>
      <c r="B1" s="1"/>
      <c r="C1" s="1"/>
    </row>
    <row r="2" customFormat="false" ht="30" hidden="false" customHeight="true" outlineLevel="0" collapsed="false">
      <c r="A2" s="2" t="s">
        <v>223</v>
      </c>
      <c r="B2" s="2"/>
      <c r="C2" s="2"/>
    </row>
    <row r="4" customFormat="false" ht="48" hidden="false" customHeight="true" outlineLevel="0" collapsed="false">
      <c r="A4" s="46" t="s">
        <v>224</v>
      </c>
      <c r="B4" s="46"/>
      <c r="C4" s="46"/>
    </row>
    <row r="5" customFormat="false" ht="15" hidden="false" customHeight="false" outlineLevel="0" collapsed="false">
      <c r="A5" s="10" t="s">
        <v>225</v>
      </c>
      <c r="B5" s="10" t="s">
        <v>226</v>
      </c>
      <c r="C5" s="10" t="s">
        <v>227</v>
      </c>
    </row>
    <row r="6" customFormat="false" ht="54" hidden="false" customHeight="true" outlineLevel="0" collapsed="false">
      <c r="A6" s="16" t="s">
        <v>228</v>
      </c>
      <c r="B6" s="11" t="s">
        <v>229</v>
      </c>
      <c r="C6" s="11" t="s">
        <v>230</v>
      </c>
    </row>
    <row r="7" customFormat="false" ht="54" hidden="false" customHeight="true" outlineLevel="0" collapsed="false">
      <c r="A7" s="16" t="s">
        <v>231</v>
      </c>
      <c r="B7" s="11" t="s">
        <v>232</v>
      </c>
      <c r="C7" s="11" t="s">
        <v>233</v>
      </c>
    </row>
    <row r="8" customFormat="false" ht="54" hidden="false" customHeight="true" outlineLevel="0" collapsed="false">
      <c r="A8" s="16" t="s">
        <v>234</v>
      </c>
      <c r="B8" s="11" t="s">
        <v>235</v>
      </c>
      <c r="C8" s="11" t="s">
        <v>236</v>
      </c>
    </row>
    <row r="9" customFormat="false" ht="54" hidden="false" customHeight="true" outlineLevel="0" collapsed="false">
      <c r="A9" s="16" t="s">
        <v>237</v>
      </c>
      <c r="B9" s="11" t="s">
        <v>238</v>
      </c>
      <c r="C9" s="11" t="s">
        <v>239</v>
      </c>
    </row>
    <row r="10" customFormat="false" ht="54" hidden="false" customHeight="true" outlineLevel="0" collapsed="false">
      <c r="A10" s="16" t="s">
        <v>240</v>
      </c>
      <c r="B10" s="11" t="s">
        <v>241</v>
      </c>
      <c r="C10" s="11" t="s">
        <v>242</v>
      </c>
    </row>
    <row r="12" customFormat="false" ht="51.75" hidden="false" customHeight="true" outlineLevel="0" collapsed="false">
      <c r="A12" s="45" t="s">
        <v>243</v>
      </c>
      <c r="B12" s="45"/>
      <c r="C12" s="45"/>
    </row>
  </sheetData>
  <mergeCells count="4">
    <mergeCell ref="A1:C1"/>
    <mergeCell ref="A2:C2"/>
    <mergeCell ref="A4:C4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244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245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8" t="s">
        <v>246</v>
      </c>
      <c r="B4" s="18" t="s">
        <v>247</v>
      </c>
      <c r="C4" s="18" t="s">
        <v>169</v>
      </c>
      <c r="D4" s="18" t="s">
        <v>248</v>
      </c>
      <c r="E4" s="18" t="s">
        <v>249</v>
      </c>
      <c r="F4" s="18" t="s">
        <v>250</v>
      </c>
    </row>
    <row r="5" customFormat="false" ht="48" hidden="false" customHeight="true" outlineLevel="0" collapsed="false">
      <c r="A5" s="11" t="s">
        <v>251</v>
      </c>
      <c r="B5" s="47" t="s">
        <v>252</v>
      </c>
      <c r="C5" s="11" t="s">
        <v>253</v>
      </c>
      <c r="D5" s="11" t="s">
        <v>254</v>
      </c>
      <c r="E5" s="19" t="s">
        <v>255</v>
      </c>
      <c r="F5" s="25" t="s">
        <v>256</v>
      </c>
    </row>
    <row r="6" customFormat="false" ht="48" hidden="false" customHeight="true" outlineLevel="0" collapsed="false">
      <c r="A6" s="11" t="s">
        <v>257</v>
      </c>
      <c r="B6" s="47" t="s">
        <v>258</v>
      </c>
      <c r="C6" s="11" t="s">
        <v>259</v>
      </c>
      <c r="D6" s="11" t="s">
        <v>260</v>
      </c>
      <c r="E6" s="19" t="s">
        <v>261</v>
      </c>
      <c r="F6" s="48" t="s">
        <v>262</v>
      </c>
    </row>
    <row r="7" customFormat="false" ht="48" hidden="false" customHeight="true" outlineLevel="0" collapsed="false">
      <c r="A7" s="11" t="s">
        <v>263</v>
      </c>
      <c r="B7" s="47" t="s">
        <v>264</v>
      </c>
      <c r="C7" s="11" t="s">
        <v>265</v>
      </c>
      <c r="D7" s="11" t="s">
        <v>266</v>
      </c>
      <c r="E7" s="19" t="s">
        <v>267</v>
      </c>
      <c r="F7" s="48" t="s">
        <v>268</v>
      </c>
    </row>
    <row r="8" customFormat="false" ht="48" hidden="false" customHeight="true" outlineLevel="0" collapsed="false">
      <c r="A8" s="11" t="s">
        <v>269</v>
      </c>
      <c r="B8" s="47" t="s">
        <v>270</v>
      </c>
      <c r="C8" s="11" t="s">
        <v>271</v>
      </c>
      <c r="D8" s="11" t="s">
        <v>272</v>
      </c>
      <c r="E8" s="19" t="s">
        <v>273</v>
      </c>
      <c r="F8" s="25" t="s">
        <v>274</v>
      </c>
    </row>
    <row r="10" customFormat="false" ht="45.75" hidden="false" customHeight="true" outlineLevel="0" collapsed="false">
      <c r="A10" s="22" t="s">
        <v>275</v>
      </c>
      <c r="B10" s="22"/>
      <c r="C10" s="22"/>
      <c r="D10" s="22"/>
      <c r="E10" s="22"/>
      <c r="F10" s="22"/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276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277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8" t="s">
        <v>111</v>
      </c>
      <c r="B4" s="18" t="s">
        <v>278</v>
      </c>
      <c r="C4" s="18" t="s">
        <v>279</v>
      </c>
      <c r="D4" s="18" t="s">
        <v>155</v>
      </c>
      <c r="E4" s="18" t="s">
        <v>280</v>
      </c>
      <c r="F4" s="18" t="s">
        <v>281</v>
      </c>
    </row>
    <row r="5" customFormat="false" ht="39.75" hidden="false" customHeight="true" outlineLevel="0" collapsed="false">
      <c r="A5" s="20" t="s">
        <v>282</v>
      </c>
      <c r="B5" s="25" t="s">
        <v>149</v>
      </c>
      <c r="C5" s="20" t="s">
        <v>283</v>
      </c>
      <c r="D5" s="25" t="s">
        <v>284</v>
      </c>
      <c r="E5" s="25" t="s">
        <v>285</v>
      </c>
      <c r="F5" s="25" t="s">
        <v>286</v>
      </c>
    </row>
    <row r="6" customFormat="false" ht="39.75" hidden="false" customHeight="true" outlineLevel="0" collapsed="false">
      <c r="A6" s="19" t="s">
        <v>282</v>
      </c>
      <c r="B6" s="11" t="s">
        <v>287</v>
      </c>
      <c r="C6" s="19" t="s">
        <v>283</v>
      </c>
      <c r="D6" s="11" t="s">
        <v>157</v>
      </c>
      <c r="E6" s="11" t="s">
        <v>288</v>
      </c>
      <c r="F6" s="11" t="s">
        <v>289</v>
      </c>
    </row>
    <row r="7" customFormat="false" ht="39.75" hidden="false" customHeight="true" outlineLevel="0" collapsed="false">
      <c r="A7" s="19" t="s">
        <v>282</v>
      </c>
      <c r="B7" s="11" t="s">
        <v>151</v>
      </c>
      <c r="C7" s="19" t="s">
        <v>290</v>
      </c>
      <c r="D7" s="11" t="s">
        <v>158</v>
      </c>
      <c r="E7" s="11" t="s">
        <v>291</v>
      </c>
      <c r="F7" s="11" t="s">
        <v>292</v>
      </c>
    </row>
    <row r="8" customFormat="false" ht="39.75" hidden="false" customHeight="true" outlineLevel="0" collapsed="false">
      <c r="A8" s="19" t="s">
        <v>282</v>
      </c>
      <c r="B8" s="11" t="s">
        <v>293</v>
      </c>
      <c r="C8" s="19" t="s">
        <v>290</v>
      </c>
      <c r="D8" s="11" t="s">
        <v>294</v>
      </c>
      <c r="E8" s="11" t="s">
        <v>295</v>
      </c>
      <c r="F8" s="11" t="s">
        <v>296</v>
      </c>
    </row>
    <row r="9" customFormat="false" ht="39.75" hidden="false" customHeight="true" outlineLevel="0" collapsed="false">
      <c r="A9" s="19" t="s">
        <v>297</v>
      </c>
      <c r="B9" s="11" t="s">
        <v>192</v>
      </c>
      <c r="C9" s="19" t="s">
        <v>298</v>
      </c>
      <c r="D9" s="11" t="s">
        <v>198</v>
      </c>
      <c r="E9" s="11" t="s">
        <v>299</v>
      </c>
      <c r="F9" s="11" t="s">
        <v>300</v>
      </c>
    </row>
    <row r="10" customFormat="false" ht="39.75" hidden="false" customHeight="true" outlineLevel="0" collapsed="false">
      <c r="A10" s="19" t="s">
        <v>297</v>
      </c>
      <c r="B10" s="11" t="s">
        <v>301</v>
      </c>
      <c r="C10" s="19" t="s">
        <v>302</v>
      </c>
      <c r="D10" s="11" t="s">
        <v>199</v>
      </c>
      <c r="E10" s="11" t="s">
        <v>303</v>
      </c>
      <c r="F10" s="11" t="s">
        <v>304</v>
      </c>
    </row>
    <row r="11" customFormat="false" ht="39.75" hidden="false" customHeight="true" outlineLevel="0" collapsed="false">
      <c r="A11" s="19" t="s">
        <v>297</v>
      </c>
      <c r="B11" s="11" t="s">
        <v>194</v>
      </c>
      <c r="C11" s="19" t="s">
        <v>305</v>
      </c>
      <c r="D11" s="11" t="s">
        <v>306</v>
      </c>
      <c r="E11" s="11" t="s">
        <v>307</v>
      </c>
      <c r="F11" s="11" t="s">
        <v>308</v>
      </c>
    </row>
    <row r="12" customFormat="false" ht="39.75" hidden="false" customHeight="true" outlineLevel="0" collapsed="false">
      <c r="A12" s="21" t="s">
        <v>309</v>
      </c>
      <c r="B12" s="29" t="s">
        <v>310</v>
      </c>
      <c r="C12" s="21" t="s">
        <v>311</v>
      </c>
      <c r="D12" s="29" t="s">
        <v>312</v>
      </c>
      <c r="E12" s="29" t="s">
        <v>313</v>
      </c>
      <c r="F12" s="29" t="s">
        <v>314</v>
      </c>
    </row>
    <row r="13" customFormat="false" ht="39.75" hidden="false" customHeight="true" outlineLevel="0" collapsed="false">
      <c r="A13" s="20" t="s">
        <v>315</v>
      </c>
      <c r="B13" s="25" t="s">
        <v>316</v>
      </c>
      <c r="C13" s="20" t="s">
        <v>283</v>
      </c>
      <c r="D13" s="25" t="s">
        <v>317</v>
      </c>
      <c r="E13" s="25" t="s">
        <v>318</v>
      </c>
      <c r="F13" s="25" t="s">
        <v>319</v>
      </c>
    </row>
    <row r="15" customFormat="false" ht="49.5" hidden="false" customHeight="true" outlineLevel="0" collapsed="false">
      <c r="A15" s="17" t="s">
        <v>320</v>
      </c>
      <c r="B15" s="17"/>
      <c r="C15" s="17"/>
      <c r="D15" s="17"/>
      <c r="E15" s="17"/>
      <c r="F15" s="17"/>
    </row>
  </sheetData>
  <mergeCells count="3">
    <mergeCell ref="A1:F1"/>
    <mergeCell ref="A2:F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1" t="s">
        <v>321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322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49" t="s">
        <v>323</v>
      </c>
      <c r="B4" s="49"/>
      <c r="C4" s="49"/>
      <c r="D4" s="50" t="n">
        <v>0.06</v>
      </c>
      <c r="E4" s="51" t="s">
        <v>324</v>
      </c>
      <c r="F4" s="51"/>
      <c r="G4" s="51"/>
    </row>
    <row r="6" customFormat="false" ht="27.75" hidden="false" customHeight="true" outlineLevel="0" collapsed="false">
      <c r="A6" s="18" t="s">
        <v>111</v>
      </c>
      <c r="B6" s="18" t="s">
        <v>112</v>
      </c>
      <c r="C6" s="18" t="s">
        <v>325</v>
      </c>
      <c r="D6" s="18" t="s">
        <v>326</v>
      </c>
      <c r="E6" s="18" t="s">
        <v>327</v>
      </c>
      <c r="F6" s="18" t="s">
        <v>328</v>
      </c>
      <c r="G6" s="18" t="s">
        <v>329</v>
      </c>
    </row>
    <row r="7" customFormat="false" ht="22.35" hidden="false" customHeight="false" outlineLevel="0" collapsed="false">
      <c r="A7" s="23" t="s">
        <v>117</v>
      </c>
      <c r="B7" s="11" t="s">
        <v>118</v>
      </c>
      <c r="C7" s="52" t="n">
        <v>24822167</v>
      </c>
      <c r="D7" s="53" t="n">
        <f aca="false">$D$4</f>
        <v>0.06</v>
      </c>
      <c r="E7" s="54" t="n">
        <f aca="false">C7*D7</f>
        <v>1489330.02</v>
      </c>
      <c r="F7" s="55" t="n">
        <f aca="false">C7-E7</f>
        <v>23332836.98</v>
      </c>
      <c r="G7" s="11" t="s">
        <v>330</v>
      </c>
    </row>
    <row r="8" customFormat="false" ht="32.8" hidden="false" customHeight="false" outlineLevel="0" collapsed="false">
      <c r="A8" s="23" t="s">
        <v>123</v>
      </c>
      <c r="B8" s="11" t="s">
        <v>331</v>
      </c>
      <c r="C8" s="52" t="n">
        <v>11086179</v>
      </c>
      <c r="D8" s="53" t="n">
        <f aca="false">$D$4</f>
        <v>0.06</v>
      </c>
      <c r="E8" s="54" t="n">
        <f aca="false">C8*D8</f>
        <v>665170.74</v>
      </c>
      <c r="F8" s="55" t="n">
        <f aca="false">C8-E8</f>
        <v>10421008.26</v>
      </c>
      <c r="G8" s="11" t="s">
        <v>332</v>
      </c>
    </row>
    <row r="9" customFormat="false" ht="22.35" hidden="false" customHeight="false" outlineLevel="0" collapsed="false">
      <c r="A9" s="23" t="s">
        <v>129</v>
      </c>
      <c r="B9" s="11" t="s">
        <v>130</v>
      </c>
      <c r="C9" s="52" t="n">
        <v>1245253</v>
      </c>
      <c r="D9" s="53" t="n">
        <f aca="false">$D$4</f>
        <v>0.06</v>
      </c>
      <c r="E9" s="54" t="n">
        <f aca="false">C9*D9</f>
        <v>74715.18</v>
      </c>
      <c r="F9" s="55" t="n">
        <f aca="false">C9-E9</f>
        <v>1170537.82</v>
      </c>
      <c r="G9" s="11" t="s">
        <v>333</v>
      </c>
    </row>
    <row r="10" customFormat="false" ht="22.35" hidden="false" customHeight="false" outlineLevel="0" collapsed="false">
      <c r="A10" s="24" t="s">
        <v>139</v>
      </c>
      <c r="B10" s="40" t="s">
        <v>334</v>
      </c>
      <c r="C10" s="56" t="n">
        <f aca="false">SUM(C7:C9)</f>
        <v>37153599</v>
      </c>
      <c r="D10" s="57"/>
      <c r="E10" s="58" t="n">
        <f aca="false">SUM(E7:E9)</f>
        <v>2229215.94</v>
      </c>
      <c r="F10" s="56" t="n">
        <f aca="false">SUM(F7:F9)</f>
        <v>34924383.06</v>
      </c>
      <c r="G10" s="59" t="s">
        <v>335</v>
      </c>
    </row>
    <row r="12" customFormat="false" ht="15" hidden="false" customHeight="true" outlineLevel="0" collapsed="false">
      <c r="A12" s="7" t="s">
        <v>336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10" t="s">
        <v>337</v>
      </c>
      <c r="B13" s="60" t="n">
        <v>0.05</v>
      </c>
      <c r="C13" s="60" t="n">
        <v>0.06</v>
      </c>
      <c r="D13" s="60" t="n">
        <v>0.07</v>
      </c>
      <c r="E13" s="60" t="n">
        <v>0.08</v>
      </c>
      <c r="F13" s="60" t="n">
        <v>0.09</v>
      </c>
    </row>
    <row r="14" customFormat="false" ht="23.85" hidden="false" customHeight="false" outlineLevel="0" collapsed="false">
      <c r="A14" s="10" t="s">
        <v>338</v>
      </c>
      <c r="B14" s="61" t="n">
        <f aca="false">$C$10*B13</f>
        <v>1857679.95</v>
      </c>
      <c r="C14" s="61" t="n">
        <f aca="false">$C$10*C13</f>
        <v>2229215.94</v>
      </c>
      <c r="D14" s="61" t="n">
        <f aca="false">$C$10*D13</f>
        <v>2600751.93</v>
      </c>
      <c r="E14" s="61" t="n">
        <f aca="false">$C$10*E13</f>
        <v>2972287.92</v>
      </c>
      <c r="F14" s="61" t="n">
        <f aca="false">$C$10*F13</f>
        <v>3343823.91</v>
      </c>
    </row>
    <row r="16" customFormat="false" ht="63.75" hidden="false" customHeight="true" outlineLevel="0" collapsed="false">
      <c r="A16" s="45" t="s">
        <v>339</v>
      </c>
      <c r="B16" s="45"/>
      <c r="C16" s="45"/>
      <c r="D16" s="45"/>
      <c r="E16" s="45"/>
      <c r="F16" s="45"/>
      <c r="G16" s="45"/>
    </row>
  </sheetData>
  <mergeCells count="6">
    <mergeCell ref="A1:G1"/>
    <mergeCell ref="A2:G2"/>
    <mergeCell ref="A4:C4"/>
    <mergeCell ref="E4:G4"/>
    <mergeCell ref="A12:G1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340</v>
      </c>
      <c r="B1" s="1"/>
      <c r="C1" s="1"/>
      <c r="D1" s="1"/>
    </row>
    <row r="2" customFormat="false" ht="30" hidden="false" customHeight="true" outlineLevel="0" collapsed="false">
      <c r="A2" s="2" t="s">
        <v>341</v>
      </c>
      <c r="B2" s="2"/>
      <c r="C2" s="2"/>
      <c r="D2" s="2"/>
    </row>
    <row r="4" customFormat="false" ht="15" hidden="false" customHeight="false" outlineLevel="0" collapsed="false">
      <c r="A4" s="10" t="s">
        <v>60</v>
      </c>
      <c r="B4" s="8" t="s">
        <v>342</v>
      </c>
      <c r="C4" s="10" t="s">
        <v>343</v>
      </c>
      <c r="D4" s="8" t="s">
        <v>344</v>
      </c>
    </row>
    <row r="5" customFormat="false" ht="43.5" hidden="false" customHeight="true" outlineLevel="0" collapsed="false">
      <c r="A5" s="19" t="s">
        <v>67</v>
      </c>
      <c r="B5" s="11" t="s">
        <v>345</v>
      </c>
      <c r="C5" s="19" t="s">
        <v>346</v>
      </c>
      <c r="D5" s="11" t="s">
        <v>347</v>
      </c>
    </row>
    <row r="6" customFormat="false" ht="43.5" hidden="false" customHeight="true" outlineLevel="0" collapsed="false">
      <c r="A6" s="19" t="s">
        <v>74</v>
      </c>
      <c r="B6" s="11" t="s">
        <v>348</v>
      </c>
      <c r="C6" s="19" t="s">
        <v>349</v>
      </c>
      <c r="D6" s="11" t="s">
        <v>350</v>
      </c>
    </row>
    <row r="7" customFormat="false" ht="43.5" hidden="false" customHeight="true" outlineLevel="0" collapsed="false">
      <c r="A7" s="19" t="s">
        <v>80</v>
      </c>
      <c r="B7" s="11" t="s">
        <v>351</v>
      </c>
      <c r="C7" s="19" t="s">
        <v>352</v>
      </c>
      <c r="D7" s="11" t="s">
        <v>353</v>
      </c>
    </row>
    <row r="8" customFormat="false" ht="43.5" hidden="false" customHeight="true" outlineLevel="0" collapsed="false">
      <c r="A8" s="19" t="s">
        <v>85</v>
      </c>
      <c r="B8" s="11" t="s">
        <v>354</v>
      </c>
      <c r="C8" s="19" t="s">
        <v>352</v>
      </c>
      <c r="D8" s="11" t="s">
        <v>355</v>
      </c>
    </row>
    <row r="9" customFormat="false" ht="43.5" hidden="false" customHeight="true" outlineLevel="0" collapsed="false">
      <c r="A9" s="19" t="s">
        <v>90</v>
      </c>
      <c r="B9" s="11" t="s">
        <v>356</v>
      </c>
      <c r="C9" s="19" t="s">
        <v>352</v>
      </c>
      <c r="D9" s="11" t="s">
        <v>357</v>
      </c>
    </row>
    <row r="10" customFormat="false" ht="43.5" hidden="false" customHeight="true" outlineLevel="0" collapsed="false">
      <c r="A10" s="19" t="s">
        <v>96</v>
      </c>
      <c r="B10" s="11" t="s">
        <v>358</v>
      </c>
      <c r="C10" s="19" t="s">
        <v>359</v>
      </c>
      <c r="D10" s="11" t="s">
        <v>360</v>
      </c>
    </row>
    <row r="11" customFormat="false" ht="43.5" hidden="false" customHeight="true" outlineLevel="0" collapsed="false">
      <c r="A11" s="19" t="s">
        <v>102</v>
      </c>
      <c r="B11" s="11" t="s">
        <v>361</v>
      </c>
      <c r="C11" s="19" t="s">
        <v>346</v>
      </c>
      <c r="D11" s="11" t="s">
        <v>362</v>
      </c>
    </row>
    <row r="13" customFormat="false" ht="51.75" hidden="false" customHeight="true" outlineLevel="0" collapsed="false">
      <c r="A13" s="45" t="s">
        <v>363</v>
      </c>
      <c r="B13" s="45"/>
      <c r="C13" s="45"/>
      <c r="D13" s="45"/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0"/>
    <col collapsed="false" customWidth="true" hidden="false" outlineLevel="0" max="4" min="4" style="0" width="18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364</v>
      </c>
      <c r="B1" s="1"/>
      <c r="C1" s="1"/>
      <c r="D1" s="1"/>
      <c r="E1" s="1"/>
    </row>
    <row r="2" customFormat="false" ht="30" hidden="false" customHeight="true" outlineLevel="0" collapsed="false">
      <c r="A2" s="2" t="s">
        <v>365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60</v>
      </c>
      <c r="B4" s="8" t="s">
        <v>366</v>
      </c>
      <c r="C4" s="8" t="s">
        <v>367</v>
      </c>
      <c r="D4" s="10" t="s">
        <v>368</v>
      </c>
      <c r="E4" s="8" t="s">
        <v>369</v>
      </c>
    </row>
    <row r="5" customFormat="false" ht="42" hidden="false" customHeight="true" outlineLevel="0" collapsed="false">
      <c r="A5" s="19" t="s">
        <v>67</v>
      </c>
      <c r="B5" s="11" t="s">
        <v>370</v>
      </c>
      <c r="C5" s="11" t="s">
        <v>371</v>
      </c>
      <c r="D5" s="19" t="s">
        <v>372</v>
      </c>
      <c r="E5" s="11" t="s">
        <v>373</v>
      </c>
    </row>
    <row r="6" customFormat="false" ht="42" hidden="false" customHeight="true" outlineLevel="0" collapsed="false">
      <c r="A6" s="19" t="s">
        <v>74</v>
      </c>
      <c r="B6" s="11" t="s">
        <v>374</v>
      </c>
      <c r="C6" s="11" t="s">
        <v>375</v>
      </c>
      <c r="D6" s="19" t="s">
        <v>376</v>
      </c>
      <c r="E6" s="11" t="s">
        <v>377</v>
      </c>
    </row>
    <row r="7" customFormat="false" ht="42" hidden="false" customHeight="true" outlineLevel="0" collapsed="false">
      <c r="A7" s="19" t="s">
        <v>80</v>
      </c>
      <c r="B7" s="11" t="s">
        <v>378</v>
      </c>
      <c r="C7" s="11" t="s">
        <v>379</v>
      </c>
      <c r="D7" s="19" t="s">
        <v>376</v>
      </c>
      <c r="E7" s="11" t="s">
        <v>380</v>
      </c>
    </row>
    <row r="8" customFormat="false" ht="42" hidden="false" customHeight="true" outlineLevel="0" collapsed="false">
      <c r="A8" s="19" t="s">
        <v>85</v>
      </c>
      <c r="B8" s="11" t="s">
        <v>381</v>
      </c>
      <c r="C8" s="11" t="s">
        <v>382</v>
      </c>
      <c r="D8" s="19" t="s">
        <v>376</v>
      </c>
      <c r="E8" s="11" t="s">
        <v>380</v>
      </c>
    </row>
    <row r="9" customFormat="false" ht="42" hidden="false" customHeight="true" outlineLevel="0" collapsed="false">
      <c r="A9" s="19" t="s">
        <v>90</v>
      </c>
      <c r="B9" s="11" t="s">
        <v>383</v>
      </c>
      <c r="C9" s="11" t="s">
        <v>384</v>
      </c>
      <c r="D9" s="19" t="s">
        <v>385</v>
      </c>
      <c r="E9" s="11" t="s">
        <v>386</v>
      </c>
    </row>
    <row r="10" customFormat="false" ht="42" hidden="false" customHeight="true" outlineLevel="0" collapsed="false">
      <c r="A10" s="19" t="s">
        <v>96</v>
      </c>
      <c r="B10" s="11" t="s">
        <v>387</v>
      </c>
      <c r="C10" s="11" t="s">
        <v>388</v>
      </c>
      <c r="D10" s="19" t="s">
        <v>376</v>
      </c>
      <c r="E10" s="11" t="s">
        <v>389</v>
      </c>
    </row>
    <row r="11" customFormat="false" ht="42" hidden="false" customHeight="true" outlineLevel="0" collapsed="false">
      <c r="A11" s="19" t="s">
        <v>102</v>
      </c>
      <c r="B11" s="11" t="s">
        <v>390</v>
      </c>
      <c r="C11" s="11" t="s">
        <v>391</v>
      </c>
      <c r="D11" s="19" t="s">
        <v>392</v>
      </c>
      <c r="E11" s="11" t="s">
        <v>393</v>
      </c>
    </row>
    <row r="13" customFormat="false" ht="36" hidden="false" customHeight="true" outlineLevel="0" collapsed="false">
      <c r="A13" s="22" t="s">
        <v>394</v>
      </c>
      <c r="B13" s="22"/>
      <c r="C13" s="22"/>
      <c r="D13" s="22"/>
      <c r="E13" s="22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395</v>
      </c>
      <c r="B1" s="1"/>
      <c r="C1" s="1"/>
    </row>
    <row r="2" customFormat="false" ht="30" hidden="false" customHeight="true" outlineLevel="0" collapsed="false">
      <c r="A2" s="2" t="s">
        <v>396</v>
      </c>
      <c r="B2" s="2"/>
      <c r="C2" s="2"/>
    </row>
    <row r="4" customFormat="false" ht="117.75" hidden="false" customHeight="true" outlineLevel="0" collapsed="false">
      <c r="A4" s="4" t="s">
        <v>397</v>
      </c>
      <c r="B4" s="4"/>
      <c r="C4" s="4"/>
    </row>
    <row r="5" customFormat="false" ht="15" hidden="false" customHeight="false" outlineLevel="0" collapsed="false">
      <c r="A5" s="10" t="s">
        <v>398</v>
      </c>
      <c r="B5" s="8" t="s">
        <v>399</v>
      </c>
      <c r="C5" s="10" t="s">
        <v>400</v>
      </c>
    </row>
    <row r="6" customFormat="false" ht="51.75" hidden="false" customHeight="true" outlineLevel="0" collapsed="false">
      <c r="A6" s="16" t="s">
        <v>401</v>
      </c>
      <c r="B6" s="11" t="s">
        <v>402</v>
      </c>
      <c r="C6" s="21" t="s">
        <v>403</v>
      </c>
    </row>
    <row r="7" customFormat="false" ht="51.75" hidden="false" customHeight="true" outlineLevel="0" collapsed="false">
      <c r="A7" s="16" t="s">
        <v>404</v>
      </c>
      <c r="B7" s="11" t="s">
        <v>405</v>
      </c>
      <c r="C7" s="62" t="s">
        <v>406</v>
      </c>
    </row>
    <row r="8" customFormat="false" ht="51.75" hidden="false" customHeight="true" outlineLevel="0" collapsed="false">
      <c r="A8" s="63" t="s">
        <v>407</v>
      </c>
      <c r="B8" s="25" t="s">
        <v>408</v>
      </c>
      <c r="C8" s="62" t="s">
        <v>406</v>
      </c>
    </row>
    <row r="9" customFormat="false" ht="51.75" hidden="false" customHeight="true" outlineLevel="0" collapsed="false">
      <c r="A9" s="16" t="s">
        <v>409</v>
      </c>
      <c r="B9" s="11" t="s">
        <v>410</v>
      </c>
      <c r="C9" s="21" t="s">
        <v>403</v>
      </c>
    </row>
    <row r="10" customFormat="false" ht="51.75" hidden="false" customHeight="true" outlineLevel="0" collapsed="false">
      <c r="A10" s="16" t="s">
        <v>411</v>
      </c>
      <c r="B10" s="11" t="s">
        <v>412</v>
      </c>
      <c r="C10" s="19" t="s">
        <v>413</v>
      </c>
    </row>
    <row r="11" customFormat="false" ht="51.75" hidden="false" customHeight="true" outlineLevel="0" collapsed="false">
      <c r="A11" s="16" t="s">
        <v>414</v>
      </c>
      <c r="B11" s="11" t="s">
        <v>415</v>
      </c>
      <c r="C11" s="62" t="s">
        <v>406</v>
      </c>
    </row>
    <row r="12" customFormat="false" ht="51.75" hidden="false" customHeight="true" outlineLevel="0" collapsed="false">
      <c r="A12" s="16" t="s">
        <v>416</v>
      </c>
      <c r="B12" s="11" t="s">
        <v>417</v>
      </c>
      <c r="C12" s="19" t="s">
        <v>413</v>
      </c>
    </row>
    <row r="13" customFormat="false" ht="51.75" hidden="false" customHeight="true" outlineLevel="0" collapsed="false">
      <c r="A13" s="16" t="s">
        <v>418</v>
      </c>
      <c r="B13" s="11" t="s">
        <v>419</v>
      </c>
      <c r="C13" s="19" t="s">
        <v>413</v>
      </c>
    </row>
    <row r="15" customFormat="false" ht="75.75" hidden="false" customHeight="true" outlineLevel="0" collapsed="false">
      <c r="A15" s="45" t="s">
        <v>420</v>
      </c>
      <c r="B15" s="45"/>
      <c r="C15" s="45"/>
    </row>
  </sheetData>
  <mergeCells count="4">
    <mergeCell ref="A1:C1"/>
    <mergeCell ref="A2:C2"/>
    <mergeCell ref="A4:C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2026-08-03T17:23:12Z</dcterms:created>
  <dc:creator>openpyxl</dc:creator>
  <dc:description/>
  <dc:language>en-US</dc:language>
  <cp:lastModifiedBy/>
  <dcterms:modified xsi:type="dcterms:W3CDTF">2026-08-03T17:23:12Z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