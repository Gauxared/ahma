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Резюме_Заключение" sheetId="1" state="visible" r:id="rId3"/>
    <sheet name="01_Паспорт_ПТО" sheetId="2" state="visible" r:id="rId4"/>
    <sheet name="02_Нормпрофиль_ИД" sheetId="3" state="visible" r:id="rId5"/>
    <sheet name="03_Чеклист_старта" sheetId="4" state="visible" r:id="rId6"/>
    <sheet name="04_Реестр_ИД_по_позициям" sheetId="5" state="visible" r:id="rId7"/>
    <sheet name="05_Стоимость_ИД" sheetId="6" state="visible" r:id="rId8"/>
    <sheet name="06_Электронная_ИД" sheetId="7" state="visible" r:id="rId9"/>
    <sheet name="07_Режим_ФСБ" sheetId="8" state="visible" r:id="rId10"/>
    <sheet name="08_РЖД_и_КС" sheetId="9" state="visible" r:id="rId11"/>
    <sheet name="09_Лаборатория" sheetId="10" state="visible" r:id="rId12"/>
    <sheet name="10_Замечания_РД" sheetId="11" state="visible" r:id="rId13"/>
    <sheet name="11_Разбор_рисков_3вар" sheetId="12" state="visible" r:id="rId14"/>
    <sheet name="12_Передачи_смежникам" sheetId="13" state="visible" r:id="rId15"/>
  </sheets>
  <definedNames>
    <definedName function="false" hidden="true" localSheetId="4" name="_xlnm._FilterDatabase" vbProcedure="false">04_Реестр_ИД_попозиц!$A$5:$L$5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<sst xmlns="http://schemas.openxmlformats.org/spreadsheetml/2006/main" count="1050" uniqueCount="763">
  <si>
    <t xml:space="preserve">СТРОЙИНТЕЛЛЕКТ.ПТО · ИИ-ПТО · ПО ПОЗИЦИЯМ АРТЕФАКТ ИД + СТОИМОСТЬ ПРОИЗВОДСТВА ИД</t>
  </si>
  <si>
    <t xml:space="preserve">ЖДПП «Зауралье» — оснащение СОТ + ЭОМ · ст. Зауралье, 76 км, пк 6+80 · Половинский р-н, Курганская обл. · SI-2026-KRG-ZAU-СОТ · Такт 4а · 03.08.2026</t>
  </si>
  <si>
    <t xml:space="preserve">СТАТУС ИД (первый пункт любого отчёта — стандарт v8, урок Школы №19)</t>
  </si>
  <si>
    <t xml:space="preserve">🔴</t>
  </si>
  <si>
    <t xml:space="preserve">НЕ НАЧАТА. Объект в предстартовой проработке (стадия «П», РД ещё нет). Из 4 условий первоочередная проверка-старта не выполнено НИ ОДНО: пакет приказов о назначении ответственных — нет; договор с аккредитованной электролабораторией — нет; ПОС/ППР под ж/д+режим — нет; перечень электронной ИД (ГОСТ Р 70108-2025) от заказчика — нет. Для стадии это норма, НО выход на объект без этих условий = преждевременный (сигнал ИИ-руководителю проекта).</t>
  </si>
  <si>
    <t xml:space="preserve">ЗАКЛЮЧЕНИЕ ИИ-ПТО — 4 СТРОКИ</t>
  </si>
  <si>
    <t xml:space="preserve">🟡</t>
  </si>
  <si>
    <t xml:space="preserve">ИД ВЕДЁМ САМИ (генподряд), фронт документирования — весь объект. Реестр ИД по позициям готов (лист 04): ~27 позиций работ под освидетельствование, ориентир ~120–160 актов (АОСР/АООК/испытания) + 6 журналов + сквозные документы. Это НЕ типовой капстрой — слаботочка+электрика на действующей ж/д под режимом ФСБ.</t>
  </si>
  <si>
    <t xml:space="preserve">НА КС-2 НЕЛЬЗЯ ЗАКРЫТЬ БЛОК «ВЫНОС КС» 64,71 млн — пока он физически не выполнен (единая позиция с ИИ-ГИП и ИИ-сметчиком). Нельзя актировать невыполненную работу. Держу под жёстким контролем: этот «воздух» не должен попасть ни в один АОСР/КС-2. Разрешается только ответом РЖД + реальными «окнами» ЭЧ.</t>
  </si>
  <si>
    <t xml:space="preserve">ДВА БЛОКЕРА ВВОДА ПОМИМО КС-2: (1) режим ФСБ — спецпроверки/специсследования (СП и СИ) + аттестация объекта информатизации (приказ ФСТЭК №77) + лицензии ФСБ/ФСТЭК монтажника; (2) действующая ж/д — акт-допуск РЖД, наряды-допуски, «окна». Без них КС-2 не подписывается, объект не вводится.</t>
  </si>
  <si>
    <t xml:space="preserve">СТОИМОСТЬ ПРОИЗВОДСТВА ИД НЕДОУЧТЕНА В СМЕТЕ (лист 05). Электролаборатория, оптические измерения ВОЛС, исполнительная геодезия, электронная ИД, аттестация ФСТЭК — отдельной строкой в ЛСР их НЕТ (размазаны по НР или не заведены). Ориентир ~1,3–1,8 млн ₽ съедают тонкую маржу (красная линия 5%). Финансовый алерт ИИ-экономисту/ИИ-руководителю проекта.</t>
  </si>
  <si>
    <t xml:space="preserve">КЛЮЧЕВЫЕ ЦИФРЫ ПТО (₽) — источник: ЛСР ИИ-сметчика + опорная база ИИ-ПТО + веб-проверка норм 03.08.2026</t>
  </si>
  <si>
    <t xml:space="preserve">Позиций работ под освидетельствование (реестр ИД)</t>
  </si>
  <si>
    <t xml:space="preserve">≈ 27 поз.</t>
  </si>
  <si>
    <t xml:space="preserve">лист 04; по видам ЭОМ/СОТ/ПНР/режим. Точно — после РД</t>
  </si>
  <si>
    <t xml:space="preserve">Ориентир числа актов (АОСР+АООК+испытания)</t>
  </si>
  <si>
    <t xml:space="preserve">≈ 120–160 шт</t>
  </si>
  <si>
    <t xml:space="preserve">оценка по объёмам ЛСР и ориентир; уточняется по РД</t>
  </si>
  <si>
    <t xml:space="preserve">Специальных журналов работ (1026/пр)</t>
  </si>
  <si>
    <t xml:space="preserve">6 шт</t>
  </si>
  <si>
    <t xml:space="preserve">🟢</t>
  </si>
  <si>
    <t xml:space="preserve">ОЖР + ЗР + кабель + сварка ВОЛС + вход.контроль + ПНР</t>
  </si>
  <si>
    <t xml:space="preserve">СП и СИ (спецпроверки ФСБ) — В СМЕТЕ Гл.9</t>
  </si>
  <si>
    <t xml:space="preserve">354 583</t>
  </si>
  <si>
    <t xml:space="preserve">ЛСР 09-02; учтено в НМЦК (ФЗ 5485-1)</t>
  </si>
  <si>
    <t xml:space="preserve">Стоимость производства ИД сверх сметы (ориентир)</t>
  </si>
  <si>
    <t xml:space="preserve">1,3–1,8 млн</t>
  </si>
  <si>
    <t xml:space="preserve">лист 05: ЭТЛ+оптика+геодезия+эл.ИД+аттестация — НЕ выделены в ЛСР</t>
  </si>
  <si>
    <t xml:space="preserve">Блок «вынос КС» — НЕЛЬЗЯ актировать при КС-2</t>
  </si>
  <si>
    <t xml:space="preserve">64 710 398</t>
  </si>
  <si>
    <t xml:space="preserve">ИИ-ГИП+ИИ-сметчик: воздух до ответа РЖД; моя зона — контроль недопуска в акты</t>
  </si>
  <si>
    <t xml:space="preserve">Реальный фронт документирования (сценарий Б)</t>
  </si>
  <si>
    <t xml:space="preserve">37 153 599</t>
  </si>
  <si>
    <t xml:space="preserve">ИИ-подрядчик: П-1 ЭОМ + П-2 СОТ + П-3 ПНР/спецпроверки</t>
  </si>
  <si>
    <t xml:space="preserve">КАРТА ФАЙЛА</t>
  </si>
  <si>
    <t xml:space="preserve">01_Паспорт_ПТО</t>
  </si>
  <si>
    <t xml:space="preserve">Паспорт объекта в разделе ПТО: нормпрофиль ИД, категория надзора, лаборатории, допуски</t>
  </si>
  <si>
    <t xml:space="preserve">02_Нормпрофиль_ИД ⭐</t>
  </si>
  <si>
    <t xml:space="preserve">Нормативная база ИД под объект + статус (действует/отменён) + ловушки. Проверено веб 03.08.2026</t>
  </si>
  <si>
    <t xml:space="preserve">03_Чеклист_старта ⭐</t>
  </si>
  <si>
    <t xml:space="preserve">первоочередная проверка 48 ч: 4 условия до первой лопаты + блокеры КС-2 и ввода. Даты, не статусы</t>
  </si>
  <si>
    <t xml:space="preserve">04_Реестр_ИД_по позициям ⭐⭐</t>
  </si>
  <si>
    <t xml:space="preserve">ГЛАВНЫЙ: по позициямионный реестр ИД по видам работ. Что освидетельствуем, чем, когда, блокер ли КС-2</t>
  </si>
  <si>
    <t xml:space="preserve">05_Стоимость_ИД ⭐⭐</t>
  </si>
  <si>
    <t xml:space="preserve">ГЛАВНЫЙ по запросу: по позициямионная стоимость производства ИД с формулами. Что НЕ в смете</t>
  </si>
  <si>
    <t xml:space="preserve">06_Электронная_ИД</t>
  </si>
  <si>
    <t xml:space="preserve">ГОСТ Р 70108-2025: перечень эл. ИД до старта, XML, ЭДО — задача заказчику/ИИ-договорнику</t>
  </si>
  <si>
    <t xml:space="preserve">07_Режим_ФСБ</t>
  </si>
  <si>
    <t xml:space="preserve">Категорированный объект: лицензии, СП и СИ, аттестация ФСТЭК-77, допуски. Блокер ввода</t>
  </si>
  <si>
    <t xml:space="preserve">08_РЖД_и_КС</t>
  </si>
  <si>
    <t xml:space="preserve">Действующая ж/д + КС 27,5 кВ: акт-допуск, наряды, «окна». Почему блок КС незакрываем при КС-2</t>
  </si>
  <si>
    <t xml:space="preserve">09_Лаборатория</t>
  </si>
  <si>
    <t xml:space="preserve">Аккредитованная электролаборатория + оптические измерения ВОЛС: что нужно, аккредитация</t>
  </si>
  <si>
    <t xml:space="preserve">10_Замечания_РД</t>
  </si>
  <si>
    <t xml:space="preserve">Экспертиза устаревших норм в ПЗ (переданы ИИ-ГИП) — проектировщику/ИИ-договорнику</t>
  </si>
  <si>
    <t xml:space="preserve">11_Упреждающий разбор рисков_3вар</t>
  </si>
  <si>
    <t xml:space="preserve">Упреждающий разбор рисков ИД + матрица 3 вариантов по блокерам + влияние на маржу</t>
  </si>
  <si>
    <t xml:space="preserve">12_Передачи смежникам</t>
  </si>
  <si>
    <t xml:space="preserve">Алерт ИИ-руководителю проекта + передачи коллегам (ИИ-экономист/ИИ-договорник/ИИ-сметчик/ИИ-снабженец/ИИ-подрядчик/ИИ-администратор)</t>
  </si>
  <si>
    <t xml:space="preserve">ЦВЕТ (стандарт v8): синий текст — входные данные/источник · зелёный — связь с другим листом/артефактом · красный — риск/воздух · 🟨 жёлтая заливка — допущение/под вопросом. ПРИРОДА ЦИФР: суммы работ — из ЛСР ИИ-сметчика; стоимость производства ИД — ориентиры рынка ИД-услуг (±15–20%), это оценка для планирования, а не подписанное КП. Статусы норм — веб-проверка 03.08.2026 (Урок Д-6).</t>
  </si>
  <si>
    <t xml:space="preserve">ПАСПОРТ ОБЪЕКТА — РАЗДЕЛ ИИ-ПТО (ПТО)</t>
  </si>
  <si>
    <t xml:space="preserve">Источник: паспорт ИИ-руководителя проекта (Такт 0) + ЦИМ ИИ-ГИП (Такт 1) + смета ИИ-сметчика (Такт 2) + подряд ИИ-подрядчика (Такт 3б) + закуп ИИ-снабженца (Такт 3а)</t>
  </si>
  <si>
    <t xml:space="preserve">1. ИДЕНТИФИКАЦИЯ</t>
  </si>
  <si>
    <t xml:space="preserve">ID объекта</t>
  </si>
  <si>
    <t xml:space="preserve">SI-2026-KRG-ZAU-СОТ</t>
  </si>
  <si>
    <t xml:space="preserve">Наименование</t>
  </si>
  <si>
    <t xml:space="preserve">Оснащение системой видеонаблюдения ЖДПП «Зауралье». СОТ (охранное ТВ) + ЭОМ (электроснабжение 0,4 кВ). Актуализация ПСД</t>
  </si>
  <si>
    <t xml:space="preserve">Адрес</t>
  </si>
  <si>
    <t xml:space="preserve">Курганская обл., Половинский р-н, ст. Зауралье, 76 км, пк 6+80 — пограничный ж/д пункт пропуска через госграницу</t>
  </si>
  <si>
    <t xml:space="preserve">Заказчик</t>
  </si>
  <si>
    <t xml:space="preserve">⚠ НЕ идентифицирован в файлах. Интересант — ПУ ФСБ России по Курганской и Тюменской обл. Установить ЛПР/финансирование — ИИ-договорник</t>
  </si>
  <si>
    <t xml:space="preserve">Проектировщик</t>
  </si>
  <si>
    <t xml:space="preserve">АО «Институт Оргэнергострой», Москва. Проект 1102/23-Зауралье (СОТ+ЭОМ), стадия «П». ГИП Безъязыков Д.С.</t>
  </si>
  <si>
    <t xml:space="preserve">Тип объекта</t>
  </si>
  <si>
    <t xml:space="preserve">Слаботочка (СОТ) + электроснабжение 0,4 кВ (ЭОМ) на ДЕЙСТВУЮЩЕЙ ж/д станции РЖД. НЕ капстрой в классике — монтаж/техперевооружение систем</t>
  </si>
  <si>
    <t xml:space="preserve">Стадия</t>
  </si>
  <si>
    <t xml:space="preserve">Предстартовая проработка. РД (стадия «Р») для точных объёмов ещё нужна → часть реестра ИД уточнится по РД</t>
  </si>
  <si>
    <t xml:space="preserve">2. РЕЖИМ И НАДЗОР — ЧТО ФОРМИРУЕТ ИД</t>
  </si>
  <si>
    <t xml:space="preserve">Особый режим</t>
  </si>
  <si>
    <t xml:space="preserve">🔴 Категорированный погранобъект: категорированные помещения (ФЗ 5485-1). Спецпроверки/специсследования + аттестация по требованиям безопасности информации (приказ ФСТЭК №77). Лицензии ФСБ/ФСТЭК у монтажника СОТ</t>
  </si>
  <si>
    <t xml:space="preserve">Инфраструктура</t>
  </si>
  <si>
    <t xml:space="preserve">🔴 Действующая контактная сеть 27,5 кВ + действующие пути РЖД. Акт-допуск на территорию РЖД, наряды-допуски, «окна», ПОТ ЭЭУ (приказ Минтруда 903н), инструкции ЦЭ РЖД</t>
  </si>
  <si>
    <t xml:space="preserve">Категория надзора</t>
  </si>
  <si>
    <t xml:space="preserve">Уточнить у ИИ-договорника/ИИ-руководителя проекта: объект — техперевооружение, не новый капстрой. ГСН по ст. 54 ГрК — по решению (техперевооружение действующего объекта РЖД). Стройконтроль заказчика — обязателен (ст. 53 ГрК, ПП 468). Авторнадзор — от проектировщика (АО ОЭС)</t>
  </si>
  <si>
    <t xml:space="preserve">ПОС / ППР</t>
  </si>
  <si>
    <t xml:space="preserve">⚠ В работе / отсутствует. Нужен ППР с разделом производства работ в зоне КС и на действующих путях + технологические карты. Без ПОС/ППР площадка не передаётся</t>
  </si>
  <si>
    <t xml:space="preserve">3. РЕСУРСЫ ИД (фронт ИИ-ПТО)</t>
  </si>
  <si>
    <t xml:space="preserve">Ведение ИД</t>
  </si>
  <si>
    <t xml:space="preserve">Свои силы (генподряд). Субподряд П-1 (ЭОМ) и П-2 (СОТ) ведут первичку по своим работам, я — сводный реестр, комплектацию и приёмку (разделение с ИИ-подрядчиком — лист 12)</t>
  </si>
  <si>
    <t xml:space="preserve">Электролаборатория</t>
  </si>
  <si>
    <t xml:space="preserve">🔴 НЕТ. Нужна аккредитованная/зарегистрированная в Ростехнадзоре ЭТЛ: электроизмерения ЭОМ (изоляция, петля фаза-ноль, сопротивление ЗУ, испытание СИП). Договор — условие старта (лист 09)</t>
  </si>
  <si>
    <t xml:space="preserve">Оптич. измерения ВОЛС</t>
  </si>
  <si>
    <t xml:space="preserve">🔴 НЕТ. Нужны рефлектометрия + паспорт ВОЛС по одномодовому ВОК СОТ (лист 09)</t>
  </si>
  <si>
    <t xml:space="preserve">Геодезия</t>
  </si>
  <si>
    <t xml:space="preserve">⚠ Уточнить: свой/привлечённый геодезист для исполнительных съёмок опор (133), ГНБ-проколов (3), плит блок-контейнера</t>
  </si>
  <si>
    <t xml:space="preserve">Спецорганизация ФСБ/ФСТЭК</t>
  </si>
  <si>
    <t xml:space="preserve">🔴 Лицензиат для СП и СИ + аттестации помещений. В смете СП и СИ = 354,6 тыс (Гл.9). Аттестация — объём под вопросом (лист 07)</t>
  </si>
  <si>
    <t xml:space="preserve">Электронная ИД</t>
  </si>
  <si>
    <t xml:space="preserve">🔴 Перечень эл. ИД по ГОСТ Р 70108-2025 от заказчика — НЕТ. Обязан утвердить до старта, включить в договор (лист 06)</t>
  </si>
  <si>
    <t xml:space="preserve">План закрытия КС-2</t>
  </si>
  <si>
    <t xml:space="preserve">⚠ От ИИ-руководителя проекта — НЕ задан (срок объекта в документах отсутствует). Критический путь: согласование РЖД → опоры → СИП/ВОЛС → ПНР → спецпроверки/аттестация ФСБ</t>
  </si>
  <si>
    <t xml:space="preserve">НОРМАТИВНЫЙ ПРОФИЛЬ ИД ПОД ОБЪЕКТ — статус проверен веб-поиском 03.08.2026 (Урок Д-6)</t>
  </si>
  <si>
    <t xml:space="preserve">Любая норма без подтверждённого статуса «действует» = допущение. Ссылка на отменённый документ = предписание ГСН и возврат КС-2 (ловушка ИИ-ПТО)</t>
  </si>
  <si>
    <t xml:space="preserve">ОСНОВА ИД (зона ИИ-ПТО) — актуальные документы</t>
  </si>
  <si>
    <t xml:space="preserve">Документ</t>
  </si>
  <si>
    <t xml:space="preserve">Что регламентирует / зачем</t>
  </si>
  <si>
    <t xml:space="preserve">Редакция / реквизиты</t>
  </si>
  <si>
    <t xml:space="preserve">Статус</t>
  </si>
  <si>
    <t xml:space="preserve">Комментарий ИИ-ПТО</t>
  </si>
  <si>
    <t xml:space="preserve">Приказ Минстроя №344/пр</t>
  </si>
  <si>
    <t xml:space="preserve">Состав и порядок ведения ИД (АОСР, АООК, реестр ИД, акты ГРО/разбивки)</t>
  </si>
  <si>
    <t xml:space="preserve">от 16.05.2023; в силе с 01.09.2023; ред. 23.06.2025</t>
  </si>
  <si>
    <t xml:space="preserve">✅</t>
  </si>
  <si>
    <t xml:space="preserve">ГЛАВНЫЙ. Заменил РД-11-02-2006. Все формы актов — только по нему</t>
  </si>
  <si>
    <t xml:space="preserve">Приказ Минстроя №1026/пр</t>
  </si>
  <si>
    <t xml:space="preserve">Порядок ведения общего и специальных журналов работ (ОЖР)</t>
  </si>
  <si>
    <t xml:space="preserve">действует</t>
  </si>
  <si>
    <t xml:space="preserve">Заменил РД-11-05-2007. ОЖР + спецжурналы — по нему</t>
  </si>
  <si>
    <t xml:space="preserve">ГОСТ Р 70108-2025</t>
  </si>
  <si>
    <t xml:space="preserve">Документация исполнительная. Формирование и ведение в электронном виде</t>
  </si>
  <si>
    <t xml:space="preserve">приказ Росстандарта 231-ст от 31.03.2025; в силе с 01.10.2025</t>
  </si>
  <si>
    <t xml:space="preserve">НОВЫЙ. Заменил ГОСТ Р 70108-2022. Заказчик обязан утвердить перечень эл. ИД ДО старта + XML-приоритет (лист 06). Веб 03.08.2026</t>
  </si>
  <si>
    <t xml:space="preserve">СП 48.13330.2019</t>
  </si>
  <si>
    <t xml:space="preserve">Организация строительства. Входной/операционный контроль, акт-допуск, стройконтроль</t>
  </si>
  <si>
    <t xml:space="preserve">актуальная</t>
  </si>
  <si>
    <t xml:space="preserve">Извещение стройконтроля заказчика; форма акта-допуска на действующее предприятие (прил.)</t>
  </si>
  <si>
    <t xml:space="preserve">ПП РФ №468</t>
  </si>
  <si>
    <t xml:space="preserve">Порядок осуществления строительного контроля</t>
  </si>
  <si>
    <t xml:space="preserve">от 21.06.2010, действует</t>
  </si>
  <si>
    <t xml:space="preserve">Функции заказчик/подрядчик. Стройконтроль обязателен (ст.53 ГрК)</t>
  </si>
  <si>
    <t xml:space="preserve">ПП РФ №1087</t>
  </si>
  <si>
    <t xml:space="preserve">Положение о федеральном ГСН</t>
  </si>
  <si>
    <t xml:space="preserve">от 30.06.2021</t>
  </si>
  <si>
    <t xml:space="preserve">Основа ГСН. Применимость к техперевооружению РЖД — уточнить (лист 08)</t>
  </si>
  <si>
    <t xml:space="preserve">ГОСТ 24297-2013</t>
  </si>
  <si>
    <t xml:space="preserve">Верификация закупленной продукции. Входной контроль</t>
  </si>
  <si>
    <t xml:space="preserve">Журнал входного контроля; до пуска материала/оборудования в работу</t>
  </si>
  <si>
    <t xml:space="preserve">ГОСТ Р 51872</t>
  </si>
  <si>
    <t xml:space="preserve">Документация исполнительная геодезическая. Правила выполнения</t>
  </si>
  <si>
    <t xml:space="preserve">⚠ сверить ред. (2019?)</t>
  </si>
  <si>
    <t xml:space="preserve">⚠</t>
  </si>
  <si>
    <t xml:space="preserve">Исполнительные геосхемы опор/ГНБ/плит. Ред. уточнить при РД</t>
  </si>
  <si>
    <t xml:space="preserve">ПРОФИЛЬНЫЕ НОРМЫ ПОД ВИДЫ РАБОТ ОБЪЕКТА</t>
  </si>
  <si>
    <t xml:space="preserve">СП 76.13330.2016</t>
  </si>
  <si>
    <t xml:space="preserve">Электротехнические устройства (электромонтаж)</t>
  </si>
  <si>
    <t xml:space="preserve">приказ Минстроя 955/пр, введён 17.06.2017</t>
  </si>
  <si>
    <t xml:space="preserve">Актуальный аналог отменённого СНиП 3.05.06-85. Ссылаться на него (замечание ИИ-ГИП — лист 10)</t>
  </si>
  <si>
    <t xml:space="preserve">ПУЭ, изд. 7</t>
  </si>
  <si>
    <t xml:space="preserve">Электроустановки 0,4 кВ: категории надёжности, заземление TN-C-S, гл.1.7</t>
  </si>
  <si>
    <t xml:space="preserve">действует по применимым главам</t>
  </si>
  <si>
    <t xml:space="preserve">База для АОСР заземления и электроизмерений</t>
  </si>
  <si>
    <t xml:space="preserve">ГОСТ Р 50571 (серия)</t>
  </si>
  <si>
    <t xml:space="preserve">Электроустановки зданий. Испытания</t>
  </si>
  <si>
    <t xml:space="preserve">серия действует</t>
  </si>
  <si>
    <t xml:space="preserve">Основа протоколов электроизмерений ЭТЛ</t>
  </si>
  <si>
    <t xml:space="preserve">СП 6.13130.2025</t>
  </si>
  <si>
    <t xml:space="preserve">Электрооборудование систем противопожарной защиты</t>
  </si>
  <si>
    <t xml:space="preserve">приказ МЧС №1263 от 29.12.2025 (ред.2021 не действует с 30.06.2026)</t>
  </si>
  <si>
    <t xml:space="preserve">В ПЗ указана редакция 2009 — ОШИБКА (лист 10). Ссылаться на 2025</t>
  </si>
  <si>
    <t xml:space="preserve">СП 45.13330.2017</t>
  </si>
  <si>
    <t xml:space="preserve">Земляные работы, основания под фундаменты опор</t>
  </si>
  <si>
    <t xml:space="preserve">АОСР котлованов/приямков + протокол уплотнения основания</t>
  </si>
  <si>
    <t xml:space="preserve">СП 70.13330.2012</t>
  </si>
  <si>
    <t xml:space="preserve">Несущие и ограждающие конструкции (опоры, ригели, фундаменты ж/б)</t>
  </si>
  <si>
    <t xml:space="preserve">АООК опор и жёстких поперечин П-перехода</t>
  </si>
  <si>
    <t xml:space="preserve">ГОСТ 31946-2012</t>
  </si>
  <si>
    <t xml:space="preserve">Провода самонесущие изолированные (СИП)</t>
  </si>
  <si>
    <t xml:space="preserve">Входной контроль СИП-4 4×25; сверка с паспортом (от ИИ-снабженца)</t>
  </si>
  <si>
    <t xml:space="preserve">Рефлектометрия, затухание, паспорт ВОЛС</t>
  </si>
  <si>
    <t xml:space="preserve">профильные ОСТ/ГОСТ + проект</t>
  </si>
  <si>
    <t xml:space="preserve">Протоколы измерений оптики — до сдачи (лист 09)</t>
  </si>
  <si>
    <t xml:space="preserve">РЕЖИМ / ФСБ / РЖД — специальная рамка</t>
  </si>
  <si>
    <t xml:space="preserve">Закон РФ №5485-1</t>
  </si>
  <si>
    <t xml:space="preserve">О государственной тайне. Категорированные помещения</t>
  </si>
  <si>
    <t xml:space="preserve">СП и СИ в смете (Гл.9). Допуски персонала, режим</t>
  </si>
  <si>
    <t xml:space="preserve">Приказ ФСТЭК №77</t>
  </si>
  <si>
    <t xml:space="preserve">Порядок аттестации объектов информатизации по требованиям безопасности информации</t>
  </si>
  <si>
    <t xml:space="preserve">от 29.04.2021, действует</t>
  </si>
  <si>
    <t xml:space="preserve">Аттестат соответствия помещений — лицензиат ФСТЭК. Блокер ввода (лист 07). Веб 03.08.2026</t>
  </si>
  <si>
    <t xml:space="preserve">Приказ Минтруда №903н</t>
  </si>
  <si>
    <t xml:space="preserve">ПОТ при эксплуатации электроустановок (ПОТ ЭЭУ)</t>
  </si>
  <si>
    <t xml:space="preserve">от 15.12.2020</t>
  </si>
  <si>
    <t xml:space="preserve">Наряды-допуски, группы электробезопасности. Работы у КС 27,5 кВ</t>
  </si>
  <si>
    <t xml:space="preserve">Распоряжение РЖД 301/р</t>
  </si>
  <si>
    <t xml:space="preserve">Инструкции ЦЭ по работам в зоне контактной сети</t>
  </si>
  <si>
    <t xml:space="preserve">от 16.02.2021</t>
  </si>
  <si>
    <t xml:space="preserve">Порядок работ на/у КС, «окна», снятие напряжения (лист 08). Веб 03.08.2026</t>
  </si>
  <si>
    <t xml:space="preserve">❌ ЛОВУШКИ — ОТМЕНЁННЫЕ ДОКУМЕНТЫ (не ссылаться в ИД!)</t>
  </si>
  <si>
    <t xml:space="preserve">Что было</t>
  </si>
  <si>
    <t xml:space="preserve">—</t>
  </si>
  <si>
    <t xml:space="preserve">Как правильно</t>
  </si>
  <si>
    <t xml:space="preserve">❌ РД-11-02-2006</t>
  </si>
  <si>
    <t xml:space="preserve">Состав и порядок ведения ИД</t>
  </si>
  <si>
    <t xml:space="preserve">приказ Ростехнадзора №1128</t>
  </si>
  <si>
    <t xml:space="preserve">ОТМЕНЁН</t>
  </si>
  <si>
    <t xml:space="preserve">Действует Приказ Минстроя №344/пр — все формы АОСР/АООК по нему</t>
  </si>
  <si>
    <t xml:space="preserve">❌ РД-11-05-2007</t>
  </si>
  <si>
    <t xml:space="preserve">Порядок ведения общего/спец. журналов</t>
  </si>
  <si>
    <t xml:space="preserve">приказ Ростехнадзора №7</t>
  </si>
  <si>
    <t xml:space="preserve">Действует Приказ Минстроя №1026/пр (ОЖР)</t>
  </si>
  <si>
    <t xml:space="preserve">⚠ Шаблоны АОСР по РД-11-02</t>
  </si>
  <si>
    <t xml:space="preserve">Старые формы у субподрядчика</t>
  </si>
  <si>
    <t xml:space="preserve">ПОПРАВИТЬ</t>
  </si>
  <si>
    <t xml:space="preserve">При обнаружении у П-1/П-2 — заменить на формы 344/пр немедленно</t>
  </si>
  <si>
    <t xml:space="preserve">ЧЕКЛИСТ СТАРТА ИД (первоочередная проверка 48 ч) + БЛОКЕРЫ КС-2 И ВВОДА — даты, не статусы</t>
  </si>
  <si>
    <t xml:space="preserve">Стандарт v8 (урок Каранайаула): три условия до первой лопаты. Урок Школы №19: статус ИД первым пунктом. Под режим ФСБ + ж/д список расширен</t>
  </si>
  <si>
    <t xml:space="preserve">A. ЧЕТЫРЕ УСЛОВИЯ ДО ПЕРВОЙ ЛОПАТЫ (без них выход на объект преждевременный → сигнал ИИ-руководителю проекта)</t>
  </si>
  <si>
    <t xml:space="preserve">#</t>
  </si>
  <si>
    <t xml:space="preserve">Условие старта</t>
  </si>
  <si>
    <t xml:space="preserve">Что конкретно нужно (под этот объект)</t>
  </si>
  <si>
    <t xml:space="preserve">Ответственный / до когда</t>
  </si>
  <si>
    <t xml:space="preserve">1</t>
  </si>
  <si>
    <t xml:space="preserve">Пакет приказов о назначении ответственных</t>
  </si>
  <si>
    <t xml:space="preserve">🔴 нет</t>
  </si>
  <si>
    <t xml:space="preserve">Приказы: ответственный за производство работ, за ИД, за стройконтроль подрядчика, за электрохозяйство (ответств. за электробезопасность), за работы в зоне КС/на путях, за режим (гостайна)</t>
  </si>
  <si>
    <t xml:space="preserve">ГП + ИИ-администратор / до T0</t>
  </si>
  <si>
    <t xml:space="preserve">2</t>
  </si>
  <si>
    <t xml:space="preserve">Договор с аккредитованной электролабораторией</t>
  </si>
  <si>
    <t xml:space="preserve">ЭТЛ, зарегистрированная в Ростехнадзоре. Область: электроизмерения 0,4 кВ (сопротивление изоляции, петля фаза-ноль, сопротивление ЗУ, испытание СИП). Узкая регистрация = протоколы недействительны = нет КС-2</t>
  </si>
  <si>
    <t xml:space="preserve">ГП / до электромонтажа</t>
  </si>
  <si>
    <t xml:space="preserve">3</t>
  </si>
  <si>
    <t xml:space="preserve">ПОС + ППР согласованы</t>
  </si>
  <si>
    <t xml:space="preserve">ППР с разделами: работы в зоне КС 27,5 кВ, работы на действующих путях, «окна» РЖД, ГНБ-проколы. Технологические карты. Без ПОС площадка не передаётся</t>
  </si>
  <si>
    <t xml:space="preserve">Проектировщик/ГП / до T0</t>
  </si>
  <si>
    <t xml:space="preserve">4</t>
  </si>
  <si>
    <t xml:space="preserve">Перечень эл. ИД (ГОСТ Р 70108-2025) + шаблоны 344/пр</t>
  </si>
  <si>
    <t xml:space="preserve">Заказчик утверждает перечень электронной ИД ДО старта (в договор). Шаблоны АОСР/АООК — по 344/пр (не РД-11-02). XML где есть схема Минстроя</t>
  </si>
  <si>
    <t xml:space="preserve">Заказчик+ИИ-договорник / до T0</t>
  </si>
  <si>
    <t xml:space="preserve">B. ДОПОЛНИТЕЛЬНЫЕ УСЛОВИЯ ПОД РЕЖИМ ФСБ + Ж/Д (специфика объекта)</t>
  </si>
  <si>
    <t xml:space="preserve">Условие</t>
  </si>
  <si>
    <t xml:space="preserve">Что нужно</t>
  </si>
  <si>
    <t xml:space="preserve">5</t>
  </si>
  <si>
    <t xml:space="preserve">Лицензии подрядчика СОТ (ФСБ + ФСТЭК)</t>
  </si>
  <si>
    <t xml:space="preserve">🔴 проверить</t>
  </si>
  <si>
    <t xml:space="preserve">Действующие лицензии: ФСБ (работа со сведениями гостайны) + ФСТЭК (ТЗКИ). Копии в дело ИД. Кандидат ИИ-подрядчика — СБ «Парсек» (заявлены)</t>
  </si>
  <si>
    <t xml:space="preserve">ИИ-подрядчик+ИИ-ПТО / до П-2</t>
  </si>
  <si>
    <t xml:space="preserve">6</t>
  </si>
  <si>
    <t xml:space="preserve">Допуски персонала к гостайне + к работам на путях</t>
  </si>
  <si>
    <t xml:space="preserve">Формы допуска к гостайне; допуски РЖД, группы электробезопасности (до V у КС); удостоверения</t>
  </si>
  <si>
    <t xml:space="preserve">ГП/подрядчики / до работ</t>
  </si>
  <si>
    <t xml:space="preserve">7</t>
  </si>
  <si>
    <t xml:space="preserve">Акт-допуск на территорию действующего предприятия РЖД</t>
  </si>
  <si>
    <t xml:space="preserve">Форма по СП 48.13330.2019 (прил.). Согласование границ, ответственных, мер безопасности у путей/КС</t>
  </si>
  <si>
    <t xml:space="preserve">ГП+РЖД / до выхода</t>
  </si>
  <si>
    <t xml:space="preserve">8</t>
  </si>
  <si>
    <t xml:space="preserve">Согласование «окон» РЖД + порядок работ у КС</t>
  </si>
  <si>
    <t xml:space="preserve">Заявка на «окна» через РЖД/ЭЧ ЮУЖД. Наряды-допуски. Без «окон» работы у путей/КС невозможны</t>
  </si>
  <si>
    <t xml:space="preserve">ГП+РЖД+ИИ-договорник / по этапам</t>
  </si>
  <si>
    <t xml:space="preserve">C. ЧТО БЛОКИРУЕТ КС-2 И ВВОД (pre-mortem: «ГСН/заказчик остановил приёмку — 5 причин»)</t>
  </si>
  <si>
    <t xml:space="preserve">Блокер</t>
  </si>
  <si>
    <t xml:space="preserve">Тип</t>
  </si>
  <si>
    <t xml:space="preserve">Почему блокирует</t>
  </si>
  <si>
    <t xml:space="preserve">Снятие</t>
  </si>
  <si>
    <t xml:space="preserve">Блок «вынос КС» 64,71 млн в КС-2</t>
  </si>
  <si>
    <t xml:space="preserve">🔴 КС-2</t>
  </si>
  <si>
    <t xml:space="preserve">Нельзя актировать невыполненную работу. Если РЖД не подтвердил вынос — работы физически нет</t>
  </si>
  <si>
    <t xml:space="preserve">Ответ РЖД или ценовой аудит Гл.12 (ИИ-договорник). Держу под контролем — лист 08</t>
  </si>
  <si>
    <t xml:space="preserve">Нет аттестации помещений (ФСТЭК-77)</t>
  </si>
  <si>
    <t xml:space="preserve">🔴 ввод</t>
  </si>
  <si>
    <t xml:space="preserve">Категорированный объект не вводится без аттестата соответствия по требованиям безопасности информации</t>
  </si>
  <si>
    <t xml:space="preserve">Лицензиат ФСТЭК; объём уточнить (лист 07)</t>
  </si>
  <si>
    <t xml:space="preserve">СП и СИ не проведены</t>
  </si>
  <si>
    <t xml:space="preserve">Спецпроверки/специсследования технических средств — до ввода режимного объекта</t>
  </si>
  <si>
    <t xml:space="preserve">Лицензиат ФСБ (в смете Гл.9)</t>
  </si>
  <si>
    <t xml:space="preserve">Протоколы электроизмерений отсутствуют/ЭТЛ без регистрации</t>
  </si>
  <si>
    <t xml:space="preserve">Электромонтаж без техотчёта ЭТЛ — АОСР неполные, КС-2 не подписывается</t>
  </si>
  <si>
    <t xml:space="preserve">Договор с ЭТЛ (условие 2)</t>
  </si>
  <si>
    <t xml:space="preserve">АОСР задним числом / скрытые работы закрыты без освидетельствования</t>
  </si>
  <si>
    <t xml:space="preserve">Заземление опор, ГНБ-проколы, прокладка кабеля — засыпаны без АОСР → нельзя проверить</t>
  </si>
  <si>
    <t xml:space="preserve">Уведомление стройконтроля за 3 р.д. (СП 48 п.7.1); АОСР в день приёмки</t>
  </si>
  <si>
    <t xml:space="preserve">ПО ПОЗИЦИЯМ РЕЕСТР ИСПОЛНИТЕЛЬНОЙ ДОКУМЕНТАЦИИ (ПРОГНОЗ ПО СОСТАВУ)</t>
  </si>
  <si>
    <t xml:space="preserve">Формы актов — Приказ Минстроя №344/пр. Извещение стройконтроля заказчика — не позднее чем за 3 раб. дня до освидетельствования (СП 48.13330.2019, п.7.1). Объёмы — ЛСР ИИ-сметчика + ЦИМ ИИ-ГИП. Точный состав уточнится по РД</t>
  </si>
  <si>
    <t xml:space="preserve">Легенда типов ИД: АОСР — акт освид. скрытых работ · АООК — акт освид. ответственных конструкций · ИГС — исполнительная геодезическая схема · ЭТЛ — протокол электроизмерений · ВОЛС — протокол оптических измерений · ВК — входной контроль · ПНР — пусконаладка · СП и СИ — спецпроверки/специсследования · Атт. — аттестация объекта информатизации. 🔴 в колонке «Блокер» = закрытие КС-2/ввод невозможны без этого документа.</t>
  </si>
  <si>
    <t xml:space="preserve">№</t>
  </si>
  <si>
    <t xml:space="preserve">Пак.</t>
  </si>
  <si>
    <t xml:space="preserve">Вид работы / что освидетельствуем</t>
  </si>
  <si>
    <t xml:space="preserve">Привязка к смете (поз./расценка)</t>
  </si>
  <si>
    <t xml:space="preserve">Ед</t>
  </si>
  <si>
    <t xml:space="preserve">Объём</t>
  </si>
  <si>
    <t xml:space="preserve">Тип ИД</t>
  </si>
  <si>
    <t xml:space="preserve">~Актов</t>
  </si>
  <si>
    <t xml:space="preserve">Доказательная часть (приложения)</t>
  </si>
  <si>
    <t xml:space="preserve">Норма-основание</t>
  </si>
  <si>
    <t xml:space="preserve">Срок оформления</t>
  </si>
  <si>
    <t xml:space="preserve">ПАКЕТ П-1 · ЭОМ — опоры, фундаменты, сети 0,4 кВ, заземление (потолок ЛСР 24,82 млн, без блока КС)</t>
  </si>
  <si>
    <t xml:space="preserve">П-1</t>
  </si>
  <si>
    <t xml:space="preserve">Приёмка геодезической разбивочной основы (ГРО) от заказчика</t>
  </si>
  <si>
    <t xml:space="preserve">до всех работ</t>
  </si>
  <si>
    <t xml:space="preserve">компл</t>
  </si>
  <si>
    <t xml:space="preserve">Акт ГРО</t>
  </si>
  <si>
    <t xml:space="preserve">Акт передачи ГРО, схема пунктов, каталог координат/реперов</t>
  </si>
  <si>
    <t xml:space="preserve">п. по 344/пр (акт ГРО)</t>
  </si>
  <si>
    <t xml:space="preserve">до начала СМР</t>
  </si>
  <si>
    <t xml:space="preserve">Разбивка осей опор, вынос трасс в натуру</t>
  </si>
  <si>
    <t xml:space="preserve">Раздел ЭОМ</t>
  </si>
  <si>
    <t xml:space="preserve">опор</t>
  </si>
  <si>
    <t xml:space="preserve">133</t>
  </si>
  <si>
    <t xml:space="preserve">Акт разбивки + ИГС</t>
  </si>
  <si>
    <t xml:space="preserve">2–3</t>
  </si>
  <si>
    <t xml:space="preserve">Разбивочный план, ИГС выноса, ведомость координат опор</t>
  </si>
  <si>
    <t xml:space="preserve">344/пр; СП 126.13330</t>
  </si>
  <si>
    <t xml:space="preserve">до земляных работ</t>
  </si>
  <si>
    <t xml:space="preserve">Разработка грунта под фундаменты/анкеры опор (приямки)</t>
  </si>
  <si>
    <t xml:space="preserve">земляные ЭОМ</t>
  </si>
  <si>
    <t xml:space="preserve">АОСР + ИГС</t>
  </si>
  <si>
    <t xml:space="preserve">4–6</t>
  </si>
  <si>
    <t xml:space="preserve">Журнал ЗР, ИГС отметок дна, протокол уплотнения основания</t>
  </si>
  <si>
    <t xml:space="preserve">СП 45.13330.2017; 344/пр</t>
  </si>
  <si>
    <t xml:space="preserve">по захваткам</t>
  </si>
  <si>
    <t xml:space="preserve">Устройство ж/б фундаментов/анкеров под опоры</t>
  </si>
  <si>
    <t xml:space="preserve">поз.12/32 ЭОМ (133 анкера)</t>
  </si>
  <si>
    <t xml:space="preserve">АОСР+АООК+ИГС</t>
  </si>
  <si>
    <t xml:space="preserve">6–8</t>
  </si>
  <si>
    <t xml:space="preserve">Паспорт ж/б, протокол уплотнения, геосхема положения, ВК</t>
  </si>
  <si>
    <t xml:space="preserve">СП 70.13330; 344/пр</t>
  </si>
  <si>
    <t xml:space="preserve">до установки опор</t>
  </si>
  <si>
    <t xml:space="preserve">Плиты ж/б ПП-6 под блок-контейнер (основание)</t>
  </si>
  <si>
    <t xml:space="preserve">ГЭСН27-06 (0,0504·100 м³)</t>
  </si>
  <si>
    <t xml:space="preserve">1–2</t>
  </si>
  <si>
    <t xml:space="preserve">Паспорт плит ПП-6, АОСР основания, геосхема, ВК</t>
  </si>
  <si>
    <t xml:space="preserve">СП 45/СП 70; 344/пр</t>
  </si>
  <si>
    <t xml:space="preserve">до монтажа блок-конт.</t>
  </si>
  <si>
    <t xml:space="preserve">Установка опор (127 шт ≤0,6 т + 6 шт 0,6–1 т)</t>
  </si>
  <si>
    <t xml:space="preserve">поз.12/32 ЭОМ</t>
  </si>
  <si>
    <t xml:space="preserve">АООК + ИГС</t>
  </si>
  <si>
    <t xml:space="preserve">ИГС вертикальности/положения, паспорт опор, ВК металла</t>
  </si>
  <si>
    <t xml:space="preserve">до подвески проводов</t>
  </si>
  <si>
    <t xml:space="preserve">Монтаж жёстких поперечин (ригели П-перехода над путями)</t>
  </si>
  <si>
    <t xml:space="preserve">поз.55 (3 шт)</t>
  </si>
  <si>
    <t xml:space="preserve">шт</t>
  </si>
  <si>
    <t xml:space="preserve">Паспорт МК, журнал сварки (при наличии), ИГС, наряд-допуск ЭЧ</t>
  </si>
  <si>
    <t xml:space="preserve">СП 70; СП 16.13330; 344/пр</t>
  </si>
  <si>
    <t xml:space="preserve">до подвески (в «окно»)</t>
  </si>
  <si>
    <t xml:space="preserve">ГНБ-проколы под КС на 3 м (пересечение КС)</t>
  </si>
  <si>
    <t xml:space="preserve">земляные/бурение ЭОМ</t>
  </si>
  <si>
    <t xml:space="preserve">прокол</t>
  </si>
  <si>
    <t xml:space="preserve">Журнал бурения ГНБ, ИГС трассы прокола, наряд-допуск</t>
  </si>
  <si>
    <t xml:space="preserve">СП 45; 344/пр; ПОТ ЭЭУ</t>
  </si>
  <si>
    <t xml:space="preserve">по факту, до затягивания</t>
  </si>
  <si>
    <t xml:space="preserve">9</t>
  </si>
  <si>
    <t xml:space="preserve">Подвеска СИП-4 4×25 (магистрали 0,4 кВ)</t>
  </si>
  <si>
    <t xml:space="preserve">кабельный журнал РД</t>
  </si>
  <si>
    <t xml:space="preserve">км</t>
  </si>
  <si>
    <t xml:space="preserve">4,96</t>
  </si>
  <si>
    <t xml:space="preserve">АОСР + журнал</t>
  </si>
  <si>
    <t xml:space="preserve">5–8</t>
  </si>
  <si>
    <t xml:space="preserve">Журнал прокладки кабеля, кабельный журнал, ВК СИП (ГОСТ 31946), ИГС трасс</t>
  </si>
  <si>
    <t xml:space="preserve">СП 76.13330.2016; 344/пр</t>
  </si>
  <si>
    <t xml:space="preserve">по участкам</t>
  </si>
  <si>
    <t xml:space="preserve">10</t>
  </si>
  <si>
    <t xml:space="preserve">Прокладка кабелей 0,4 кВ в трубах ПНД/траншеях</t>
  </si>
  <si>
    <t xml:space="preserve">сети ЭОМ</t>
  </si>
  <si>
    <t xml:space="preserve">по РД</t>
  </si>
  <si>
    <t xml:space="preserve">3–5</t>
  </si>
  <si>
    <t xml:space="preserve">АОСР траншей (скрытая), журнал прокладки, ИГС, ВК труб ПНД</t>
  </si>
  <si>
    <t xml:space="preserve">СП 76.13330; 344/пр</t>
  </si>
  <si>
    <t xml:space="preserve">по участкам, до засыпки</t>
  </si>
  <si>
    <t xml:space="preserve">11</t>
  </si>
  <si>
    <t xml:space="preserve">Заземление опор (клеммы 130 шт, верт. заземлители 5 шт, контур блок-конт.)</t>
  </si>
  <si>
    <t xml:space="preserve">ГЭСНм20-02-023 (3+127 шт)</t>
  </si>
  <si>
    <t xml:space="preserve">135</t>
  </si>
  <si>
    <t xml:space="preserve">АОСР + ЭТЛ + схема ЗУ</t>
  </si>
  <si>
    <t xml:space="preserve">АОСР заземляющего устройства (скрытое), протокол ЭТЛ (сопротивление ЗУ), исполнит. схема ЗУ</t>
  </si>
  <si>
    <t xml:space="preserve">ПУЭ гл.1.7; ГОСТ Р 50571; 344/пр</t>
  </si>
  <si>
    <t xml:space="preserve">до засыпки</t>
  </si>
  <si>
    <t xml:space="preserve">12</t>
  </si>
  <si>
    <t xml:space="preserve">Малый блок КС — обоснованный вынос (поперечины П-перехода)</t>
  </si>
  <si>
    <t xml:space="preserve">поз.49–54 ЭОМ (1,92 км)</t>
  </si>
  <si>
    <t xml:space="preserve">1,92</t>
  </si>
  <si>
    <t xml:space="preserve">АОСР/акт + наряд-допуск</t>
  </si>
  <si>
    <t xml:space="preserve">Наряд-допуск ЭЧ, акт снятия/подачи напряжения, журнал работ в «окно», ИГС</t>
  </si>
  <si>
    <t xml:space="preserve">ПОТ ЭЭУ (903н); РЖД 301/р; 344/пр</t>
  </si>
  <si>
    <t xml:space="preserve">в «окна» РЖД</t>
  </si>
  <si>
    <t xml:space="preserve">13</t>
  </si>
  <si>
    <t xml:space="preserve">Монтаж блок-контейнера (АПС/оборудование связи)</t>
  </si>
  <si>
    <t xml:space="preserve">поз. блок-конт. ЭОМ</t>
  </si>
  <si>
    <t xml:space="preserve">1–2⚠</t>
  </si>
  <si>
    <t xml:space="preserve">Акт монтажа + ВК</t>
  </si>
  <si>
    <t xml:space="preserve">Акт установки, паспорт блок-контейнера, ВК. ⚠ чертёж 2 / смета 1 — разрешить (ИИ-ГИП)</t>
  </si>
  <si>
    <t xml:space="preserve">по факту</t>
  </si>
  <si>
    <t xml:space="preserve">14</t>
  </si>
  <si>
    <t xml:space="preserve">Электроизмерения ЭОМ (изоляция, петля фаза-ноль, ЗУ, автоматы)</t>
  </si>
  <si>
    <t xml:space="preserve">ПНР/сдача ЭОМ</t>
  </si>
  <si>
    <t xml:space="preserve">Техотчёт ЭТЛ</t>
  </si>
  <si>
    <t xml:space="preserve">1 отчёт</t>
  </si>
  <si>
    <t xml:space="preserve">Протоколы: сопротивление изоляции, петля фаза-ноль, сопротивление ЗУ, проверка автоматов</t>
  </si>
  <si>
    <t xml:space="preserve">ПУЭ; ГОСТ Р 50571; ПТЭЭП</t>
  </si>
  <si>
    <t xml:space="preserve">до ПНР/сдачи</t>
  </si>
  <si>
    <t xml:space="preserve">ПАКЕТ П-2 · СОТ — слаботочный монтаж (потолок ЛСР 11,09 млн; оборудование давальческое — ВК обязателен)</t>
  </si>
  <si>
    <t xml:space="preserve">15</t>
  </si>
  <si>
    <t xml:space="preserve">П-2</t>
  </si>
  <si>
    <t xml:space="preserve">Прокладка кабельных трасс/лотков/труб СКС</t>
  </si>
  <si>
    <t xml:space="preserve">монтаж СОТ</t>
  </si>
  <si>
    <t xml:space="preserve">АОСР скрытой прокладки, журнал, ВК лотков/труб</t>
  </si>
  <si>
    <t xml:space="preserve">по участкам, до зашивки</t>
  </si>
  <si>
    <t xml:space="preserve">16</t>
  </si>
  <si>
    <t xml:space="preserve">Прокладка ВОК (ВОЛС одномод)</t>
  </si>
  <si>
    <t xml:space="preserve">Журнал прокладки ВОК, кабельный журнал, ВК ВОК, ИГС трасс</t>
  </si>
  <si>
    <t xml:space="preserve">344/пр; проект ВОЛС</t>
  </si>
  <si>
    <t xml:space="preserve">17</t>
  </si>
  <si>
    <t xml:space="preserve">Монтаж/сварка оптических муфт ВОЛС</t>
  </si>
  <si>
    <t xml:space="preserve">муфт</t>
  </si>
  <si>
    <t xml:space="preserve">Акт + протокол сварки</t>
  </si>
  <si>
    <t xml:space="preserve">2–4</t>
  </si>
  <si>
    <t xml:space="preserve">Протокол сварки волокон, схема муфт</t>
  </si>
  <si>
    <t xml:space="preserve">проект; профильные ГОСТ</t>
  </si>
  <si>
    <t xml:space="preserve">18</t>
  </si>
  <si>
    <t xml:space="preserve">Оптические измерения ВОЛС (рефлектометрия)</t>
  </si>
  <si>
    <t xml:space="preserve">ПНР СОТ</t>
  </si>
  <si>
    <t xml:space="preserve">Протокол ВОЛС + паспорт</t>
  </si>
  <si>
    <t xml:space="preserve">1 паспорт</t>
  </si>
  <si>
    <t xml:space="preserve">Рефлектограммы, протокол затухания, паспорт ВОЛС</t>
  </si>
  <si>
    <t xml:space="preserve">профильные ГОСТ; проект</t>
  </si>
  <si>
    <t xml:space="preserve">до ПНР</t>
  </si>
  <si>
    <t xml:space="preserve">19</t>
  </si>
  <si>
    <t xml:space="preserve">Монтаж камер видеонаблюдения (давальческое оборуд.)</t>
  </si>
  <si>
    <t xml:space="preserve">монтаж 191–202⚠</t>
  </si>
  <si>
    <t xml:space="preserve">191–202</t>
  </si>
  <si>
    <t xml:space="preserve">Акт приёма-передачи давальч. оборуд. (от заказчика), ВК, акт монтажа. ⚠ смета 191 / ПД 202</t>
  </si>
  <si>
    <t xml:space="preserve">ГОСТ 24297; 344/пр</t>
  </si>
  <si>
    <t xml:space="preserve">по зонам</t>
  </si>
  <si>
    <t xml:space="preserve">20</t>
  </si>
  <si>
    <t xml:space="preserve">Монтаж РЛС Orwell-R (8), НЕО (8), коммутаторов (36), СХД (2), ИБП</t>
  </si>
  <si>
    <t xml:space="preserve">Акт приёма-передачи давальч. оборуд., ВК, паспорта, акты монтажа</t>
  </si>
  <si>
    <t xml:space="preserve">21</t>
  </si>
  <si>
    <t xml:space="preserve">Монтаж/установка криптошлюзов ViPNet (СКЗИ)</t>
  </si>
  <si>
    <t xml:space="preserve">оборуд. СОТ 1,39 млн</t>
  </si>
  <si>
    <t xml:space="preserve">Акт СКЗИ + формуляр</t>
  </si>
  <si>
    <t xml:space="preserve">Акт установки СКЗИ, формуляр, акт инициализации (часто заказчик/ФСБ). Срок поставки 6–10 нед (ИИ-снабженец)</t>
  </si>
  <si>
    <t xml:space="preserve">ФЗ 5485-1; НД ФСБ (СКЗИ)</t>
  </si>
  <si>
    <t xml:space="preserve">по режиму</t>
  </si>
  <si>
    <t xml:space="preserve">22</t>
  </si>
  <si>
    <t xml:space="preserve">СКВ</t>
  </si>
  <si>
    <t xml:space="preserve">Входной контроль оборудования и материалов (весь объект)</t>
  </si>
  <si>
    <t xml:space="preserve">все ЛСР</t>
  </si>
  <si>
    <t xml:space="preserve">поставок</t>
  </si>
  <si>
    <t xml:space="preserve">все</t>
  </si>
  <si>
    <t xml:space="preserve">Журнал ВК + акты ВК</t>
  </si>
  <si>
    <t xml:space="preserve">по постав.</t>
  </si>
  <si>
    <t xml:space="preserve">Журнал входного контроля, акты ВК, сверка с сертификатами/паспортами (реестр от ИИ-снабженца), акты приёма давальч.</t>
  </si>
  <si>
    <t xml:space="preserve">ГОСТ 24297-2013; СП 48; 344/пр</t>
  </si>
  <si>
    <t xml:space="preserve">до пуска в работу</t>
  </si>
  <si>
    <t xml:space="preserve">ПАКЕТ П-3 · ПНР + СПЕЦПРОВЕРКИ ФСБ (потолок ЛСР 1,25 млн; ПНР дубль 0,89 млн — снять, ИИ-сметчик/ИИ-договорник)</t>
  </si>
  <si>
    <t xml:space="preserve">23</t>
  </si>
  <si>
    <t xml:space="preserve">П-3</t>
  </si>
  <si>
    <t xml:space="preserve">Пусконаладочные работы СОТ (программа + протоколы)</t>
  </si>
  <si>
    <t xml:space="preserve">ЛСР ПНР 890 670 ⚠дубль</t>
  </si>
  <si>
    <t xml:space="preserve">Программа + акт ПНР</t>
  </si>
  <si>
    <t xml:space="preserve">Программа ПНР, протоколы наладки, акт ПНР. ⚠ дубль ПНР 0,89 млн снять (ИИ-сметчик)</t>
  </si>
  <si>
    <t xml:space="preserve">проект; 344/пр</t>
  </si>
  <si>
    <t xml:space="preserve">после монтажа</t>
  </si>
  <si>
    <t xml:space="preserve">24</t>
  </si>
  <si>
    <t xml:space="preserve">Индивидуальные испытания систем СОТ</t>
  </si>
  <si>
    <t xml:space="preserve">ПНР</t>
  </si>
  <si>
    <t xml:space="preserve">систем</t>
  </si>
  <si>
    <t xml:space="preserve">Акты индив. испытаний</t>
  </si>
  <si>
    <t xml:space="preserve">Акты индивидуальных испытаний по системам (видео, РЛС, СГЭП)</t>
  </si>
  <si>
    <t xml:space="preserve">проект; СП 48; 344/пр</t>
  </si>
  <si>
    <t xml:space="preserve">до комплексного</t>
  </si>
  <si>
    <t xml:space="preserve">25</t>
  </si>
  <si>
    <t xml:space="preserve">Спецпроверки и специсследования (СП и СИ) техсредств</t>
  </si>
  <si>
    <t xml:space="preserve">ЛСР СП и СИ 354 583</t>
  </si>
  <si>
    <t xml:space="preserve">Акты СП и СИ</t>
  </si>
  <si>
    <t xml:space="preserve">Акты/заключения спецпроверок и специсследований (лицензиат ФСБ). В смете Гл.9</t>
  </si>
  <si>
    <t xml:space="preserve">Закон РФ 5485-1; НД ФСБ/ФСТЭК</t>
  </si>
  <si>
    <t xml:space="preserve">до аттестации</t>
  </si>
  <si>
    <t xml:space="preserve">26</t>
  </si>
  <si>
    <t xml:space="preserve">Аттестация объекта информатизации (помещений)</t>
  </si>
  <si>
    <t xml:space="preserve">⚠ объём под вопросом</t>
  </si>
  <si>
    <t xml:space="preserve">помещ.</t>
  </si>
  <si>
    <t xml:space="preserve">Аттестат соответствия</t>
  </si>
  <si>
    <t xml:space="preserve">Программа/протоколы аттестационных испытаний, аттестат соответствия (лицензиат ФСТЭК)</t>
  </si>
  <si>
    <t xml:space="preserve">Приказ ФСТЭК №77 от 29.04.2021</t>
  </si>
  <si>
    <t xml:space="preserve">до ввода</t>
  </si>
  <si>
    <t xml:space="preserve">27</t>
  </si>
  <si>
    <t xml:space="preserve">Комплексное опробование / приёмо-сдаточные испытания</t>
  </si>
  <si>
    <t xml:space="preserve">сдача-приёмка</t>
  </si>
  <si>
    <t xml:space="preserve">Акт КО + приёмка</t>
  </si>
  <si>
    <t xml:space="preserve">Акт комплексного опробования, приёмо-сдаточный акт, эксплуатационная документация</t>
  </si>
  <si>
    <t xml:space="preserve">СП 48; СП 68.13330; 344/пр</t>
  </si>
  <si>
    <t xml:space="preserve">финал</t>
  </si>
  <si>
    <t xml:space="preserve">СКВОЗНЫЕ ДОКУМЕНТЫ (весь объект, ведутся постоянно)</t>
  </si>
  <si>
    <t xml:space="preserve">28</t>
  </si>
  <si>
    <t xml:space="preserve">Общий журнал работ (ОЖР)</t>
  </si>
  <si>
    <t xml:space="preserve">весь объект</t>
  </si>
  <si>
    <t xml:space="preserve">журн</t>
  </si>
  <si>
    <t xml:space="preserve">ОЖР</t>
  </si>
  <si>
    <t xml:space="preserve">Титул, список ИТР, регистрация ППР, ежедневные записи, выходы ГСН/заказчика</t>
  </si>
  <si>
    <t xml:space="preserve">с начала СМР</t>
  </si>
  <si>
    <t xml:space="preserve">29</t>
  </si>
  <si>
    <t xml:space="preserve">Специальные журналы (ЗР, кабель, сварка ВОЛС, вход.контроль, ПНР)</t>
  </si>
  <si>
    <t xml:space="preserve">Спецжурналы</t>
  </si>
  <si>
    <t xml:space="preserve">Журналы по видам работ. Ведёт один ответственный (без разных почерков)</t>
  </si>
  <si>
    <t xml:space="preserve">по видам</t>
  </si>
  <si>
    <t xml:space="preserve">30</t>
  </si>
  <si>
    <t xml:space="preserve">Реестр ИД + удостоверяющий лист комплекта</t>
  </si>
  <si>
    <t xml:space="preserve">реестр</t>
  </si>
  <si>
    <t xml:space="preserve">Реестр ИД</t>
  </si>
  <si>
    <t xml:space="preserve">Сводный реестр ИД; удостоверяющий лист (ГОСТ Р 21.101). Одновременно с КС-2</t>
  </si>
  <si>
    <t xml:space="preserve">344/пр; ГОСТ Р 70108-2025</t>
  </si>
  <si>
    <t xml:space="preserve">к каждой КС-2</t>
  </si>
  <si>
    <t xml:space="preserve">31</t>
  </si>
  <si>
    <t xml:space="preserve">Акт-допуск + наряды-допуски (действующее предприятие РЖД)</t>
  </si>
  <si>
    <t xml:space="preserve">по этапам</t>
  </si>
  <si>
    <t xml:space="preserve">Акт-допуск + наряды</t>
  </si>
  <si>
    <t xml:space="preserve">мн.</t>
  </si>
  <si>
    <t xml:space="preserve">Акт-допуск (СП 48, прил.), наряды-допуски на работы у КС/на путях, «окна»</t>
  </si>
  <si>
    <t xml:space="preserve">СП 48.13330.2019; ПОТ ЭЭУ; РЖД 301/р</t>
  </si>
  <si>
    <t xml:space="preserve">до/по этапам</t>
  </si>
  <si>
    <t xml:space="preserve">32</t>
  </si>
  <si>
    <t xml:space="preserve">Реестр сертификатов и паспортов качества</t>
  </si>
  <si>
    <t xml:space="preserve">Реестр сертиф.</t>
  </si>
  <si>
    <t xml:space="preserve">Сводный реестр (от ИИ-снабженца), мониторинг сроков действия, декларации ЕАС</t>
  </si>
  <si>
    <t xml:space="preserve">ГОСТ 24297; СП 48; 344/пр</t>
  </si>
  <si>
    <t xml:space="preserve">постоянно</t>
  </si>
  <si>
    <t xml:space="preserve">УСЛОВНЫЙ ПАКЕТ П-4 · ВЫНОС/ВОЗВРАТ КС 27,5 кВ — 🔴 НЕЛЬЗЯ АКТИРОВАТЬ ПРИ КС-2 ПОКА НЕ ВЫПОЛНЕН</t>
  </si>
  <si>
    <t xml:space="preserve">33</t>
  </si>
  <si>
    <t xml:space="preserve">П-4</t>
  </si>
  <si>
    <t xml:space="preserve">Вынос/возврат контактной сети (большой блок 198 км)</t>
  </si>
  <si>
    <t xml:space="preserve">ГЭСНм20-03-035 = 64 710 398 ₽</t>
  </si>
  <si>
    <t xml:space="preserve">198,12</t>
  </si>
  <si>
    <t xml:space="preserve">НЕТ (воздух)</t>
  </si>
  <si>
    <t xml:space="preserve">0</t>
  </si>
  <si>
    <t xml:space="preserve">🔴 ДОКУМЕНТОВ НЕТ: работа физически не выполняется (проект решает пересечения ГНБ, опоры ≥2 м от КС). Актировать НЕЛЬЗЯ. Разрешается только ответом РЖД + реальными «окнами» ЭЧ</t>
  </si>
  <si>
    <t xml:space="preserve">ИИ-ГИП+ИИ-сметчик; ПОТ ЭЭУ; РЖД 301/р</t>
  </si>
  <si>
    <t xml:space="preserve">🔴 заблокировано</t>
  </si>
  <si>
    <t xml:space="preserve">ИТОГ ПО РЕЕСТРУ: ≈27 позиций работ под освидетельствование (без сквозных и блока КС) · ориентир 120–160 актов АОСР/АООК/испытаний · 6 журналов (ОЖР+5 спец) · 🔴 15 позиций — прямой блокер КС-2, 4 позиции — блокер ВВОДА (режим ФСБ). Блок КС (поз.33) в закрытие НЕ включается. Точный состав — после РД.</t>
  </si>
  <si>
    <t xml:space="preserve">СТОИМОСТЬ ПРОИЗВОДСТВА ИСПОЛНИТЕЛЬНОЙ ДОКУМЕНТАЦИИ — ПО ПОЗИЦИЯМ</t>
  </si>
  <si>
    <t xml:space="preserve">Что реально стоит «сделать ИД» на этом объекте. Ставки — ориентиры рынка ИД-услуг (±15–20%), синим. Сумма — формула. 🟨 жёлтым — допущение/под вопросом. Ключевой вывод: что НЕ выделено в смете</t>
  </si>
  <si>
    <t xml:space="preserve">ВХОДНЫЕ ДОПУЩЕНИЯ (🟨 редактируемо — от них зависит расчёт труда)</t>
  </si>
  <si>
    <t xml:space="preserve">Активная фаза объекта (срок производства работ)</t>
  </si>
  <si>
    <t xml:space="preserve">мес.</t>
  </si>
  <si>
    <t xml:space="preserve">🟨 ДОПУЩЕНИЕ: срок в документах НЕ задан (флаг ИИ-руководителя проекта). Принято 5 мес активной фазы для оценки труда. Уточнить у ИИ-руководителя проекта/ИИ-договорника → пересчёт</t>
  </si>
  <si>
    <t xml:space="preserve">A. СВОИМИ СИЛАМИ (труд ПТО/ИД; обычно «размазано» в НР — выделяю для прозрачности маржи)</t>
  </si>
  <si>
    <t xml:space="preserve">Компонент производства ИД</t>
  </si>
  <si>
    <t xml:space="preserve">Что входит / основание</t>
  </si>
  <si>
    <t xml:space="preserve">Кол-во</t>
  </si>
  <si>
    <t xml:space="preserve">Ставка, ₽</t>
  </si>
  <si>
    <t xml:space="preserve">Сумма, ₽</t>
  </si>
  <si>
    <t xml:space="preserve">В смете?</t>
  </si>
  <si>
    <t xml:space="preserve">Примечание</t>
  </si>
  <si>
    <t xml:space="preserve">A1</t>
  </si>
  <si>
    <t xml:space="preserve">ПТО/ИД-инженер (начальник ПТО)</t>
  </si>
  <si>
    <t xml:space="preserve">Реестр ИД, АОСР/АООК, журналы, комплектация, приёмка. 1 чел × срок</t>
  </si>
  <si>
    <t xml:space="preserve">чел·мес</t>
  </si>
  <si>
    <t xml:space="preserve">в НР</t>
  </si>
  <si>
    <t xml:space="preserve">Ставка по стандарту ПТО (100–150 тыс/мес). Ключевой ресурс</t>
  </si>
  <si>
    <t xml:space="preserve">A2</t>
  </si>
  <si>
    <t xml:space="preserve">Инженер-геодезист (исполнит. съёмки)</t>
  </si>
  <si>
    <t xml:space="preserve">ИГС опор (133), ГНБ (3), плит блок-конт.; привязка к реперам</t>
  </si>
  <si>
    <t xml:space="preserve">⚠ част.</t>
  </si>
  <si>
    <t xml:space="preserve">🟨 привлечённая организация/свой. Уточнить наличие геодезиста (лист 01)</t>
  </si>
  <si>
    <t xml:space="preserve">B. ПРИВЛЕЧЁННЫЕ УСЛУГИ (лаборатории, спецпроверки, аттестация)</t>
  </si>
  <si>
    <t xml:space="preserve">B1</t>
  </si>
  <si>
    <t xml:space="preserve">Аккредитованная электролаборатория (ЭТЛ)</t>
  </si>
  <si>
    <t xml:space="preserve">Электроизмерения ЭОМ: изоляция, петля фаза-ноль, сопротивление ЗУ, испытание СИП, автоматы. Техотчёт + протоколы</t>
  </si>
  <si>
    <t xml:space="preserve">🔴 НЕТ</t>
  </si>
  <si>
    <t xml:space="preserve">🟨 ориентир (133 ЗУ + магистрали СИП). ЭТЛ с регистрацией в Ростехнадзоре. Условие старта</t>
  </si>
  <si>
    <t xml:space="preserve">B2</t>
  </si>
  <si>
    <t xml:space="preserve">Оптические измерения ВОЛС</t>
  </si>
  <si>
    <t xml:space="preserve">Рефлектометрия, затухание, паспорт ВОЛС по одномод. ВОК СОТ</t>
  </si>
  <si>
    <t xml:space="preserve">🟨 ориентир по числу муфт/волокон. Привлечённая организация/свой</t>
  </si>
  <si>
    <t xml:space="preserve">B3</t>
  </si>
  <si>
    <t xml:space="preserve">Спецпроверки и специсследования (СП и СИ)</t>
  </si>
  <si>
    <t xml:space="preserve">Спецработы лицензиата ФСБ по техсредствам (ФЗ 5485-1)</t>
  </si>
  <si>
    <t xml:space="preserve">✅ Гл.9</t>
  </si>
  <si>
    <t xml:space="preserve">В СМЕТЕ (ЛСР 09-02). НЕ добавляется к «сверх сметы»</t>
  </si>
  <si>
    <t xml:space="preserve">B4</t>
  </si>
  <si>
    <t xml:space="preserve">Аттестация объекта информатизации (ФСТЭК-77)</t>
  </si>
  <si>
    <t xml:space="preserve">Аттестационные испытания помещений, аттестат соответствия (лицензиат ФСТЭК)</t>
  </si>
  <si>
    <t xml:space="preserve">🟨 ?</t>
  </si>
  <si>
    <t xml:space="preserve">🟨 ОБЪЁМ ПОД ВОПРОСОМ: наш договор или заказчик? Ориентир 200–400 тыс (лист 07)</t>
  </si>
  <si>
    <t xml:space="preserve">C. ЭЛЕКТРОННАЯ ИД + КОМПЛЕКТАЦИЯ</t>
  </si>
  <si>
    <t xml:space="preserve">C1</t>
  </si>
  <si>
    <t xml:space="preserve">Электронная ИД (ГОСТ Р 70108-2025)</t>
  </si>
  <si>
    <t xml:space="preserve">Платформа/ЭДО ИД, формирование XML, ЭЦП, обучение</t>
  </si>
  <si>
    <t xml:space="preserve">🟨 часто система заказчика (ГИСОГД/своя). Уточнить (лист 06)</t>
  </si>
  <si>
    <t xml:space="preserve">C2</t>
  </si>
  <si>
    <t xml:space="preserve">Комплектация ИД (печать, сшивка, копии)</t>
  </si>
  <si>
    <t xml:space="preserve">3–4 экз бумага по договору + электронный комплект; расходники</t>
  </si>
  <si>
    <t xml:space="preserve">Число экземпляров — из договора (уточнить у ИИ-договорника)</t>
  </si>
  <si>
    <t xml:space="preserve">ИТОГИ И ВЛИЯНИЕ НА МАРЖУ</t>
  </si>
  <si>
    <t xml:space="preserve">ИТОГО стоимость производства ИД (всё, вкл. в смете)</t>
  </si>
  <si>
    <t xml:space="preserve">   в т.ч. УЖЕ В СМЕТЕ (СП и СИ, Гл.9)</t>
  </si>
  <si>
    <t xml:space="preserve">ЛСР 09-02 — учтено в НМЦК</t>
  </si>
  <si>
    <t xml:space="preserve">   СВЕРХ СМЕТЫ — не выделено в ЛСР (🔴 съедает маржу)</t>
  </si>
  <si>
    <t xml:space="preserve">ЭТЛ+оптика+геодезия+эл.ИД+аттестация+комплектация+труд</t>
  </si>
  <si>
    <t xml:space="preserve">Реальный фронт документирования (сценарий Б), ₽</t>
  </si>
  <si>
    <t xml:space="preserve">от ИИ-подрядчика/ИИ-сметчика (П-1+П-2+П-3)</t>
  </si>
  <si>
    <t xml:space="preserve">Стоимость производства ИД к реальному фронту, %</t>
  </si>
  <si>
    <t xml:space="preserve">ориентир ИД: 3–6% для слаботочки+электрики под режимом — в норме</t>
  </si>
  <si>
    <t xml:space="preserve">«Сверх сметы» к реальному фронту, %</t>
  </si>
  <si>
    <t xml:space="preserve">🔴 именно это давление на тонкую маржу (красная линия 5%) — алерт ИИ-экономисту</t>
  </si>
  <si>
    <t xml:space="preserve">ВЫВОД ИИ-ПТО. Полная стоимость производства ИД по расчёту ≈ 2,13 млн ₽ (труд + услуги + комплектация). Из них в смете сидят только СП и СИ (354,6 тыс). Сверх сметы ≈ 1,78 млн ₽ (4,8% реального фронта) — электролаборатория, оптические измерения ВОЛС, исполнительная геодезия, электронная ИД, аттестация ФСТЭК, комплектация, труд ПТО — отдельной строкой в ЛСР НЕ выделены. На объекте, где реальная маржа у красной линии 5% (ИИ-сметчик), это прямое давление на прибыль. 🔴 ФИНАНСОВЫЙ АЛЕРТ ИИ-экономисту/ИИ-руководителю проекта: заложить стоимость производства ИД в себестоимость явно, а не в НР «по умолчанию». Аттестация ФСТЭК (объём под вопросом) может сдвинуть цифру — уточнить у ИИ-договорника ДО подписания.</t>
  </si>
  <si>
    <t xml:space="preserve">ЭЛЕКТРОННАЯ ИД — ГОСТ Р 70108-2025 (действует с 01.10.2025)</t>
  </si>
  <si>
    <t xml:space="preserve">Проверено веб-поиском 03.08.2026. Заменил ГОСТ Р 70108-2022 (приказ Росстандарта 231-ст от 31.03.2025). Ключевое — обязанности заказчика ДО старта</t>
  </si>
  <si>
    <t xml:space="preserve">ЧТО ТРЕБУЕТ НОВЫЙ ГОСТ (и почему это условие старта)</t>
  </si>
  <si>
    <t xml:space="preserve">Перечень эл. ИД — ДО старта</t>
  </si>
  <si>
    <t xml:space="preserve">🔴 Заказчик обязан определить и утвердить перечень ИД, ведущейся в электронной форме, ДО начала строительства. Целесообразно включить в договор подряда. Пока перечня нет — это блокер (лист 03, условие 4)</t>
  </si>
  <si>
    <t xml:space="preserve">Защита подрядчика</t>
  </si>
  <si>
    <t xml:space="preserve">Заказчик НЕ вправе требовать от лица, осуществляющего строительство (ЛОС), документацию, не предусмотренную утверждённым перечнем. Это наш аргумент против необоснованных требований</t>
  </si>
  <si>
    <t xml:space="preserve">Приоритет XML</t>
  </si>
  <si>
    <t xml:space="preserve">Кардинальное отличие от ГОСТ-2022: чёткое структурирование ИД по 3 группам (журналы учёта выполнения работ; акты; иная ИД) и приоритет XML-форматов. Где есть XML-схема Минстроя — вести в XML</t>
  </si>
  <si>
    <t xml:space="preserve">Бумага или электрон — без дублирования</t>
  </si>
  <si>
    <t xml:space="preserve">Заказчик вправе выбрать способ: бумага ИЛИ только электронная форма без дублирования на бумаге. Определяется договором</t>
  </si>
  <si>
    <t xml:space="preserve">Передача эксплуатанту</t>
  </si>
  <si>
    <t xml:space="preserve">ГОСТ регламентирует передачу ИД в форме электронных документов эксплуатирующей организации — учесть при сдаче-приёмке (лист 04, поз.27)</t>
  </si>
  <si>
    <t xml:space="preserve">СПЕЦИФИКА РЕЖИМНОГО ОБЪЕКТА (важно!)</t>
  </si>
  <si>
    <t xml:space="preserve">⚠ Категорированный объект ФСБ: электронный документооборот и хранение ИД по системам охраны госграницы могут иметь ограничения по защите информации. Перечень эл. ИД и платформу ЭДО согласовать с режимными требованиями заказчика (ФСБ). Не выкладывать чувствительную ИД в общедоступные облачные системы. Уточнить у ИИ-договорника/заказчика ДО выбора платформы электронной ИД.</t>
  </si>
  <si>
    <t xml:space="preserve">ЗАДАЧА → ИИ-ДОГОВОРНИКУ/ЗАКАЗЧИКУ (для договора)</t>
  </si>
  <si>
    <t xml:space="preserve">1) Утвердить перечень электронной ИД (ГОСТ Р 70108-2025) до T0. 2) Зафиксировать в договоре: способ ведения (бумага/электрон/оба), число экземпляров, платформу ЭДО, требования к XML. 3) Согласовать режимные ограничения на ЭДО ИД. 4) Определить, кто несёт затраты на платформу электронной ИД (лист 05, C1).</t>
  </si>
  <si>
    <t xml:space="preserve">КАТЕГОРИРОВАННЫЙ ОБЪЕКТ ФСБ — ЧТО ФОРМИРУЕТ ИД И БЛОКИРУЕТ ВВОД</t>
  </si>
  <si>
    <t xml:space="preserve">Погранпункт пропуска (ФЗ 5485-1). Смета Гл.9: СП и СИ 354 583 ₽. Проверено веб-поиском 03.08.2026 (приказ ФСТЭК №77)</t>
  </si>
  <si>
    <t xml:space="preserve">ЦЕПОЧКА РЕЖИМНЫХ ДОКУМЕНТОВ (последовательность до ввода)</t>
  </si>
  <si>
    <t xml:space="preserve">Этап / документ</t>
  </si>
  <si>
    <t xml:space="preserve">Основание</t>
  </si>
  <si>
    <t xml:space="preserve">Что это значит для ИД</t>
  </si>
  <si>
    <t xml:space="preserve">Лицензии подрядчика СОТ</t>
  </si>
  <si>
    <t xml:space="preserve">ФСБ (гостайна) + ФСТЭК (ТЗКИ)</t>
  </si>
  <si>
    <t xml:space="preserve">Копии действующих лицензий в дело ИД. Кандидат ИИ-подрядчика — СБ «Парсек» (заявлены с 2009). Проверить ПЕРВЫМ делом (первоочередная проверка ИИ-подрядчика)</t>
  </si>
  <si>
    <t xml:space="preserve">Допуски персонала</t>
  </si>
  <si>
    <t xml:space="preserve">Формы допуска к гостайне</t>
  </si>
  <si>
    <t xml:space="preserve">Оформление допусков монтажников/ИТР. Срок оформления — недели/месяцы, начинать заранее</t>
  </si>
  <si>
    <t xml:space="preserve">Входной контроль оборудования</t>
  </si>
  <si>
    <t xml:space="preserve">ГОСТ 24297; акты приёма давальч.</t>
  </si>
  <si>
    <t xml:space="preserve">Камеры/серверы/РЛС/криптошлюзы — режимное. Акты приёма-передачи от заказчика, ВК, паспорта (лист 04, поз.19–22)</t>
  </si>
  <si>
    <t xml:space="preserve">🔴 Спецпроверки и специсследования (СП и СИ)</t>
  </si>
  <si>
    <t xml:space="preserve">Закон РФ 5485-1; лицензиат ФСБ</t>
  </si>
  <si>
    <t xml:space="preserve">Акты/заключения по техсредствам. В смете Гл.9 (354,6 тыс). До аттестации. БЛОКЕР ВВОДА</t>
  </si>
  <si>
    <t xml:space="preserve">🔴 Аттестация объекта информатизации</t>
  </si>
  <si>
    <t xml:space="preserve">Приказ ФСТЭК №77 от 29.04.2021; лицензиат ФСТЭК</t>
  </si>
  <si>
    <t xml:space="preserve">Аттестационные испытания помещений → аттестат соответствия. 🟨 объём под вопросом (наш/заказчик). БЛОКЕР ВВОДА</t>
  </si>
  <si>
    <t xml:space="preserve">🔴 Приёмка комиссией с участием ФСБ</t>
  </si>
  <si>
    <t xml:space="preserve">практика режимных объектов</t>
  </si>
  <si>
    <t xml:space="preserve">Итоговая приёмка категорированного объекта. Без аттестата и СП и СИ — не вводится</t>
  </si>
  <si>
    <t xml:space="preserve">РИСКИ ПО РЕЖИМУ (упреждающий разбор рисков)</t>
  </si>
  <si>
    <t xml:space="preserve">🔴 Объём аттестации не определён → если наш, но не в смете — прямой убыток 0,2–0,4 млн (лист 05, B4). 🔴 Лицензии подрядчика просрочены/узкие → монтаж СОТ недопустим, срыв П-2. 🔴 Допуски персонала не оформлены к сроку → простой. 🔴 СП и СИ/аттестация не заложены в критический путь → объект смонтирован, но не вводится месяцами. Действие: объём и сроки режимных работ зафиксировать с ИИ-договорником ДО подписания; включить в КСГ ИИ-руководителя проекта отдельным этапом.</t>
  </si>
  <si>
    <t xml:space="preserve">ДЕЙСТВУЮЩАЯ Ж/Д + КОНТАКТНАЯ СЕТЬ 27,5 кВ — ИД, ДОПУСКИ, «ОКНА»</t>
  </si>
  <si>
    <t xml:space="preserve">Работы на территории действующего предприятия РЖД у КС под напряжением. Проверено веб 03.08.2026 (ПОТ ЭЭУ 903н; РЖД 301/р от 16.02.2021)</t>
  </si>
  <si>
    <t xml:space="preserve">РЕГЛАМЕНТ РАБОТ И СОПУТСТВУЮЩАЯ ИД</t>
  </si>
  <si>
    <t xml:space="preserve">Документ / действие</t>
  </si>
  <si>
    <t xml:space="preserve">Акт-допуск на территорию РЖД</t>
  </si>
  <si>
    <t xml:space="preserve">СП 48.13330.2019 (прил.)</t>
  </si>
  <si>
    <t xml:space="preserve">Оформляется до выхода. Границы, ответственные, меры безопасности у путей/КС. Без него площадка не передаётся</t>
  </si>
  <si>
    <t xml:space="preserve">Наряды-допуски на работы у КС / на путях</t>
  </si>
  <si>
    <t xml:space="preserve">ПОТ ЭЭУ (приказ 903н); РЖД 301/р</t>
  </si>
  <si>
    <t xml:space="preserve">На каждую работу в зоне КС/повышенной опасности. Группы электробезопасности (до V у КС). Хранятся в деле ИД</t>
  </si>
  <si>
    <t xml:space="preserve">Заявка и согласование «окон» РЖД</t>
  </si>
  <si>
    <t xml:space="preserve">регламент РЖД/ЭЧ ЮУЖД</t>
  </si>
  <si>
    <t xml:space="preserve">«Окна» — технологические перерывы движения. Без «окна» работы у путей/КС невозможны. Простои по «окнам» — риск (ИИ-договорник: чьи)</t>
  </si>
  <si>
    <t xml:space="preserve">Акты снятия/подачи напряжения (при работах на КС)</t>
  </si>
  <si>
    <t xml:space="preserve">ПОТ ЭЭУ; инструкции ЦЭ</t>
  </si>
  <si>
    <t xml:space="preserve">Только силами/под контролем ЭЧ (дистанция электроснабжения). Внешняя бригада к КС под напряжением не допускается</t>
  </si>
  <si>
    <t xml:space="preserve">Работы у путей, но НЕ на КС (опоры ≥2 м)</t>
  </si>
  <si>
    <t xml:space="preserve">проект; ТУ РЖД пп.5–6</t>
  </si>
  <si>
    <t xml:space="preserve">Даже опоры в стороне от КС — на действующей станции: «окна», согласования, ТБ. Оформляется как работа на действующем предприятии</t>
  </si>
  <si>
    <t xml:space="preserve">🔴 БЛОК «ВЫНОС КС» 64,71 млн — ПОЧЕМУ НЕЗАКРЫВАЕМ ПРИ КС-2 (моя зона контроля)</t>
  </si>
  <si>
    <t xml:space="preserve">Единая позиция с ИИ-ГИП (по геометрии/РД) и ИИ-сметчиком (по деньгам/незакрываемости): проект решает пересечения КС проколами ГНБ на 3 м, опоры ≥2 м от КС. Значит вынос/возврат КС обоснован ТОЛЬКО в 3 местах жёстких поперечин (малый блок 1,92 км — поз.12 реестра, актируется). Большой блок 198 км (64,71 млн) физически не выполняется. МОЯ РОЛЬ ПТО: этот «воздух» НЕ должен попасть ни в один АОСР и ни в одну КС-2 — нельзя актировать невыполненную работу (Протокол 2: нет задних чисел, нет фиктива). Разрешение только двумя путями: (А) РЖД письменно подтверждает фактический вынос → работы ЭЧ в «окна», появляется реальная ИД; (Б) объём снимается ценовым аудитом Гл.12 (ИИ-договорник). До этого поз.33 реестра держу в статусе 🔴 заблокировано.</t>
  </si>
  <si>
    <t xml:space="preserve">ЛАБОРАТОРНАЯ И ИЗМЕРИТЕЛЬНАЯ БАЗА — БЕЗ НЕЁ АКТ ПУСТОЙ</t>
  </si>
  <si>
    <t xml:space="preserve">Специфика объекта: не бетон/асфальт, а ЭЛЕКТРИКА + ОПТИКА. Профиль лаборатории — электроизмерения и оптические измерения, не стройматериалы</t>
  </si>
  <si>
    <t xml:space="preserve">ЧТО НУЖНО (и почему это условие старта)</t>
  </si>
  <si>
    <t xml:space="preserve">🔴 Аккредитованная электролаборатория (ЭТЛ)</t>
  </si>
  <si>
    <t xml:space="preserve">регистрация в Ростехнадзоре</t>
  </si>
  <si>
    <t xml:space="preserve">Область: электроизмерения 0,4 кВ. Измерения: сопротивление изоляции, петля «фаза-ноль», сопротивление ЗУ, испытание СИП, проверка автоматов. Техотчёт + протоколы (лист 04, поз.11,14). Узкая регистрация = протоколы недействительны = нет КС-2</t>
  </si>
  <si>
    <t xml:space="preserve">🔴 Оптические измерения ВОЛС</t>
  </si>
  <si>
    <t xml:space="preserve">профильные ГОСТ + проект</t>
  </si>
  <si>
    <t xml:space="preserve">Рефлектометрия (затухание, отражения), паспорт ВОЛС по одномод. ВОК СОТ (лист 04, поз.18). Свой рефлектометр или привлечённая организация</t>
  </si>
  <si>
    <t xml:space="preserve">⚠ Геодезические измерения</t>
  </si>
  <si>
    <t xml:space="preserve">СП 126.13330; ГОСТ Р 51872</t>
  </si>
  <si>
    <t xml:space="preserve">Исполнительные съёмки опор/ГНБ/плит (лист 04, поз.2,3,8). Поверенные приборы. Свой/привлечённый геодезист</t>
  </si>
  <si>
    <t xml:space="preserve">ℹ Стройматериалы (бетон/грунт)</t>
  </si>
  <si>
    <t xml:space="preserve">ГОСТ 18105; ГОСТ 5180</t>
  </si>
  <si>
    <t xml:space="preserve">Минимально: основания под опоры/плиты (уплотнение). Малый объём — по факту фундаментных работ</t>
  </si>
  <si>
    <t xml:space="preserve">PRE-MORTEM ЛАБОРАТОРИИ (урок: узкая аккредитация → протоколы недействительны)</t>
  </si>
  <si>
    <t xml:space="preserve">🔴 Ошибка №1: взяли ЭТЛ без регистрации на нужные виды измерений → протоколы не принимает ГСН/заказчик → возврат КС-2. 🔴 Ошибка №2: нет рефлектометрии ВОЛС → систему СОТ нельзя сдать. 🔴 Ошибка №3: приборы без поверки → все измерения недействительны. Действие: договор с ЭТЛ (регистрация Ростехнадзора) + подтверждение области измерений ДО электромонтажа. Поверки приборов — в дело ИД.</t>
  </si>
  <si>
    <t xml:space="preserve">ЭКСПЕРТИЗА НОРМАТИВНЫХ ССЫЛОК ПЗ — для проектировщика/ИИ-договорника (передано ИИ-ГИП, находка 9)</t>
  </si>
  <si>
    <t xml:space="preserve">Урок Д-6: ссылка на отменённую/ошибочную норму = дефект РД. Для ИД важно: акты и ссылки в ИД — только на действующие нормы. Проверено веб 03.08.2026</t>
  </si>
  <si>
    <t xml:space="preserve">Норма в ПЗ</t>
  </si>
  <si>
    <t xml:space="preserve">Проблема</t>
  </si>
  <si>
    <t xml:space="preserve">Как правильно (для РД и ИД)</t>
  </si>
  <si>
    <t xml:space="preserve">🔴 СП 6.13130.2009 (в ПЗ)</t>
  </si>
  <si>
    <t xml:space="preserve">Устарел на 2 поколения</t>
  </si>
  <si>
    <t xml:space="preserve">Действует СП 6.13130.2025 (приказ МЧС №1263 от 29.12.2025; ред. 2021 не действует с 30.06.2026). Ссылаться на 2025</t>
  </si>
  <si>
    <t xml:space="preserve">⚠ СНиП 3.05.06-85 (в ПЗ)</t>
  </si>
  <si>
    <t xml:space="preserve">Актуализирован</t>
  </si>
  <si>
    <t xml:space="preserve">Действует СП 76.13330.2016 (приказ Минстроя 955/пр). В ИД по электромонтажу ссылаться на СП 76</t>
  </si>
  <si>
    <t xml:space="preserve">🔴 МГСН 4.04-94 (в ПЗ)</t>
  </si>
  <si>
    <t xml:space="preserve">Московские региональные, неприменимы</t>
  </si>
  <si>
    <t xml:space="preserve">В Курганской обл. неприменимы + устарели. Исключить из РД</t>
  </si>
  <si>
    <t xml:space="preserve">🔴 «СНиП 21-02-97* Пож.без. зданий» (в ПЗ)</t>
  </si>
  <si>
    <t xml:space="preserve">Ошибка ссылки</t>
  </si>
  <si>
    <t xml:space="preserve">21-02-97 = «Стоянки автомобилей». Пож.без. зданий = СНиП 21-01-97* → своды 13130. Исправить</t>
  </si>
  <si>
    <t xml:space="preserve">⚠ СНиП 31-06-2009 (в ПЗ)</t>
  </si>
  <si>
    <t xml:space="preserve">Неприменим к объекту</t>
  </si>
  <si>
    <t xml:space="preserve">Объект не общественное здание. Аналог — СП 118.13330.2022 (при необходимости)</t>
  </si>
  <si>
    <t xml:space="preserve">ДЕЙСТВИЕ ИИ-ПТО: при выпуске шаблонов ИД и формулировок актов использую ТОЛЬКО действующие нормы (колонка справа). Замечания по РД передаю проектировщику (АО ОЭС) через ИИ-договорника — до выпуска РД. Это защищает ИД от предписания ГСН по «мёртвым» ссылкам.</t>
  </si>
  <si>
    <t xml:space="preserve">УПРЕЖДАЮЩИЙ РАЗБОР РИСКОВ ИД + МАТРИЦА 3 ВАРИАНТОВ ПО КЛЮЧЕВОМУ БЛОКЕРУ</t>
  </si>
  <si>
    <t xml:space="preserve">Стандарт v8: «через 2 месяца ИД оказалась дефектной — почему?». Факт / Предположение / Неизвестное разделены явно</t>
  </si>
  <si>
    <t xml:space="preserve">УПРЕЖДАЮЩИЙ РАЗБОР РИСКОВ: 5 ПРИЧИН БУДУЩЕГО ПРОВАЛА ИД (и упреждение)</t>
  </si>
  <si>
    <t xml:space="preserve">Причина провала</t>
  </si>
  <si>
    <t xml:space="preserve">Упреждение</t>
  </si>
  <si>
    <t xml:space="preserve">✅ ФАКТ</t>
  </si>
  <si>
    <t xml:space="preserve">Блок КС 64,71 млн попал в АОСР/КС-2 как выполненный → фиктив, возврат, риск ФАС</t>
  </si>
  <si>
    <t xml:space="preserve">Держу поз.33 в 🔴, недопуск в акты (лист 08)</t>
  </si>
  <si>
    <t xml:space="preserve">ЭТЛ без нужной регистрации → протоколы электроизмерений недействительны</t>
  </si>
  <si>
    <t xml:space="preserve">Договор с ЭТЛ + область измерений до старта (лист 09)</t>
  </si>
  <si>
    <t xml:space="preserve">Аттестация ФСТЭК/СП и СИ не в критическом пути → смонтировано, но не вводится</t>
  </si>
  <si>
    <t xml:space="preserve">Режимный этап в КСГ ИИ-руководителя проекта отдельно (лист 07)</t>
  </si>
  <si>
    <t xml:space="preserve">⚠ ПРЕДПОЛ.</t>
  </si>
  <si>
    <t xml:space="preserve">Давальческое оборудование пришло без полного пакета документов → ВК не закрыть</t>
  </si>
  <si>
    <t xml:space="preserve">Синхронизация с ИИ-снабженцем: акты приёма-передачи + паспорта (лист 04, поз.22)</t>
  </si>
  <si>
    <t xml:space="preserve">❌ НЕИЗВ.</t>
  </si>
  <si>
    <t xml:space="preserve">Перечень эл. ИД заказчик не утвердил → спор о составе ИД при сдаче</t>
  </si>
  <si>
    <t xml:space="preserve">Запрос заказчику через ИИ-договорника до T0 (лист 06)</t>
  </si>
  <si>
    <t xml:space="preserve">МАТРИЦА 3 ВАРИАНТОВ — как поступить с блоком КС 64,71 млн в части ИД (решение у ИИ-руководителя проекта)</t>
  </si>
  <si>
    <t xml:space="preserve">Вариант</t>
  </si>
  <si>
    <t xml:space="preserve">Что с ИД</t>
  </si>
  <si>
    <t xml:space="preserve">Оценка ИИ-ПТО</t>
  </si>
  <si>
    <t xml:space="preserve">Вариант А: РЖД подтвердил вынос</t>
  </si>
  <si>
    <t xml:space="preserve">Работы ЭЧ в «окна» → появляется реальная ИД (наряды-допуски, акты снятия/подачи напряжения). Актируем по факту</t>
  </si>
  <si>
    <t xml:space="preserve">Оценка: вероятность приёмки высокая, но риск простоев «окон». Нужен договор с РЖД/ЭЧ</t>
  </si>
  <si>
    <t xml:space="preserve">Вариант Б (рекомендую): объём снят аудитом Гл.12</t>
  </si>
  <si>
    <t xml:space="preserve">Блок КС исключается из НМЦК → в ИД его нет, честный объект ~40 млн. Реестр ИД чистый</t>
  </si>
  <si>
    <t xml:space="preserve">Оценка: минимальный риск ИД, маржа реалистична (ИИ-сметчик: базовый). Требует запроса в РЖД (ИИ-договорник)</t>
  </si>
  <si>
    <t xml:space="preserve">Вариант В: твёрдая цена, вынос не делаем</t>
  </si>
  <si>
    <t xml:space="preserve">🔴 НЕ рекомендую. Деньги за невыполненный вынос не поступят (нельзя актировать при КС-2) → кассовый провал + акт разногласий + риск ФАС</t>
  </si>
  <si>
    <t xml:space="preserve">Оценка: для ИД — тупик, актировать нечего. Худший сценарий</t>
  </si>
  <si>
    <t xml:space="preserve">РЕКОМЕНДАЦИЯ ИИ-ПТО (решение — у ИИ-руководителя проекта): ВАРИАНТ Б. С точки зрения ИД он чистейший — нет невыполнимого блока, реестр закрывается по факту, КС-2 подписываются без «воздуха». Вариант А приемлем только при письменном подтверждении РЖД + договоре с ЭЧ. Вариант В для ПТО — тупик (актировать нечего). Совпадает с рекомендацией ИИ-ГИП и ИИ-сметчика.</t>
  </si>
  <si>
    <t xml:space="preserve">ПЕРЕДАЧИ СМЕЖНИКАМ КОМАНДЕ + АЛЕРТ ИИ-РУКОВОДИТЕЛЮ ПРОЕКТА</t>
  </si>
  <si>
    <t xml:space="preserve">Порядок ИИ-руководителя проекта: ИИ-ГИП → ИИ-сметчик → ИИ-снабженец/ИИ-подрядчик → ИИ-ПТО/ИИ-договорник → ИИ-экономист → ИИ-администратор. Каждому — конкретная задача</t>
  </si>
  <si>
    <t xml:space="preserve">🚨 ПТО-АЛЕРТ → ИИ-РУКОВОДИТЕЛЬ ПРОЕКТА | 03.08.2026</t>
  </si>
  <si>
    <t xml:space="preserve">Ситуация</t>
  </si>
  <si>
    <t xml:space="preserve">СТАТУС ИД 🔴 не начата (стадия «П»). Реестр ИД по позициям готов (~27 поз., 120–160 актов). Два блокера ввода помимо КС-2: режим ФСБ (СП и СИ + аттестация ФСТЭК) и действующая ж/д (акт-допуск, «окна»). Блок КС 64,71 млн — держу под контролем, актировать нельзя.</t>
  </si>
  <si>
    <t xml:space="preserve">Деньги</t>
  </si>
  <si>
    <t xml:space="preserve">Стоимость производства ИД ~1,3–1,8 млн ₽. В смете — только СП и СИ 354,6 тыс. Остальное (ЭТЛ, оптика, геодезия, эл.ИД, аттестация, комплектация) НЕ выделено → давит на маржу у красной линии 5%.</t>
  </si>
  <si>
    <t xml:space="preserve">Варианты</t>
  </si>
  <si>
    <t xml:space="preserve">1) Заложить стоимость производства ИД в себестоимость явно (не в НР «по умолчанию»). 2) Зафиксировать объём аттестации ФСТЭК с ИИ-договорником до подписания. 3) Утвердить сценарий Б по блоку КС (реестр ИД чистый).</t>
  </si>
  <si>
    <t xml:space="preserve">Рекомендую</t>
  </si>
  <si>
    <t xml:space="preserve">Вариант 1+2+3 вместе. Плюс режимный этап (СП и СИ+аттестация) — отдельной вехой в КСГ, иначе объект смонтирован, но не вводится.</t>
  </si>
  <si>
    <t xml:space="preserve">Нужно решение до</t>
  </si>
  <si>
    <t xml:space="preserve">старта T0 (условия первоочередная проверка — лист 03). Три красных условия старта требуют решения ДО первой лопаты.</t>
  </si>
  <si>
    <t xml:space="preserve">ПЕРЕДАЧИ КОЛЛЕГАМ</t>
  </si>
  <si>
    <t xml:space="preserve">Кому</t>
  </si>
  <si>
    <t xml:space="preserve">Что несу / задача</t>
  </si>
  <si>
    <t xml:space="preserve">Приоритет</t>
  </si>
  <si>
    <t xml:space="preserve">→ ИИ-руководителю проекта (РП)</t>
  </si>
  <si>
    <t xml:space="preserve">Реестр ИД + стоимость производства ИД готовы. 3 условия старта не выполнены (блокер). Блок КС держу вне актов. Режимный этап — отдельной вехой в КСГ. Рекомендую сценарий Б.</t>
  </si>
  <si>
    <t xml:space="preserve">КРИТ</t>
  </si>
  <si>
    <t xml:space="preserve">→ ИИ-экономисту (Эконом)</t>
  </si>
  <si>
    <t xml:space="preserve">🔴 Заложить стоимость производства ИД ~1,3–1,8 млн в себестоимость явно (лист 05). Из них в смете только 354,6 тыс. «Сверх сметы» давит на маржу — учесть в финансовый результат.</t>
  </si>
  <si>
    <t xml:space="preserve">ВЫСОКИЙ</t>
  </si>
  <si>
    <t xml:space="preserve">→ ИИ-договорнику (Договор)</t>
  </si>
  <si>
    <t xml:space="preserve">(1) Объём аттестации ФСТЭК — наш/заказчик (лист 07). (2) Перечень эл. ИД в договор (ГОСТ 70108-2025, лист 06). (3) Число экземпляров ИД. (4) Чьи риски простоя «окон» РЖД. (5) Блок КС — билабелен ли; запрос в РЖД по выносу.</t>
  </si>
  <si>
    <t xml:space="preserve">→ ИИ-сметчику (Сметчик)</t>
  </si>
  <si>
    <t xml:space="preserve">ПНР дубль 0,89 млн — снять (согласен). Стоимость производства ИД (ЭТЛ, оптика, геодезия) в смете отдельной строкой не вижу — подтверди, где сидит (в НР?). Малый блок КС 1,92 км актируем, большой — нет.</t>
  </si>
  <si>
    <t xml:space="preserve">СРЕДНИЙ</t>
  </si>
  <si>
    <t xml:space="preserve">→ ИИ-снабженцу (Закуп)</t>
  </si>
  <si>
    <t xml:space="preserve">Реестр сертификатов/паспортов — твой вход в мой входной контроль (лист 04, поз.22,32). Давальческое оборуд. СОТ — нужны акты приёма-передачи + паспорта для ВК. Срок поставки ViPNet 6–10 нед — под график ПНР.</t>
  </si>
  <si>
    <t xml:space="preserve">→ ИИ-подрядчику (Подряд)</t>
  </si>
  <si>
    <t xml:space="preserve">ПТО-статус субподрядчиков: кто ведёт первичку ИД (П-1/П-2). Требования допусков в договор субподряда: лицензия ФСБ/ФСТЭК (СОТ), электробезопасность+ЭТЛ (ЭОМ), допуск ЭЧ (КС). Уведомление стройконтроля за 3 р.д. до скрытия работ.</t>
  </si>
  <si>
    <t xml:space="preserve">→ ИИ-администратору (Админ)</t>
  </si>
  <si>
    <t xml:space="preserve">В реестр поручений: 8 условий старта с ответственными (лист 03), статусы блокеров. Расписание выходов стройконтроля/ГСН. График ИД привязать к «окнам» РЖД и поставке давальческого оборуд.</t>
  </si>
  <si>
    <t xml:space="preserve">ИИ-ПТО · СтройИнтеллект.ПТО v8.2 · 03.08.2026. «Без ИД — это не объект, это самострой». Каждая ссылка — на действующую норму (344/пр, 1026/пр, ГОСТ Р 70108-2025), статусы проверены веб-поиском 03.08.2026 (Урок Д-6). Опора: паспорт ИИ-руководителя проекта, ЦИМ ИИ-ГИП, смета ИИ-сметчика, подряд ИИ-подрядчика, закуп ИИ-снабженца + Опорная база ИИ-ПТО ПТО v1.0.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</si>
</sst>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;\-#,##0.##;\-"/>
    <numFmt numFmtId="166" formatCode="#,##0&quot; ₽&quot;;[RED]\-#,##0&quot; ₽&quot;;\-"/>
    <numFmt numFmtId="167" formatCode="0.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2E5496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0000FF"/>
      <name val="Arial"/>
      <family val="0"/>
      <charset val="1"/>
    </font>
    <font>
      <sz val="8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5FB"/>
      </patternFill>
    </fill>
    <fill>
      <patternFill patternType="solid">
        <fgColor rgb="FFF2F5FB"/>
        <bgColor rgb="FFEDEDED"/>
      </patternFill>
    </fill>
    <fill>
      <patternFill patternType="solid">
        <fgColor rgb="FFEDEDED"/>
        <bgColor rgb="FFF2F5FB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6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5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6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6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5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7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5" fillId="8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21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549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5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13" min="4" style="1" width="13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57.7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7" customFormat="false" ht="18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49.5" hidden="false" customHeight="true" outlineLevel="0" collapsed="false">
      <c r="A8" s="7" t="s">
        <v>6</v>
      </c>
      <c r="B8" s="8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customFormat="false" ht="49.5" hidden="false" customHeight="true" outlineLevel="0" collapsed="false">
      <c r="A9" s="5" t="s">
        <v>3</v>
      </c>
      <c r="B9" s="6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customFormat="false" ht="49.5" hidden="false" customHeight="true" outlineLevel="0" collapsed="false">
      <c r="A10" s="5" t="s">
        <v>3</v>
      </c>
      <c r="B10" s="6" t="s">
        <v>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customFormat="false" ht="49.5" hidden="false" customHeight="true" outlineLevel="0" collapsed="false">
      <c r="A11" s="7" t="s">
        <v>6</v>
      </c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3" customFormat="false" ht="18" hidden="false" customHeight="true" outlineLevel="0" collapsed="false">
      <c r="A13" s="4" t="s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32.25" hidden="false" customHeight="true" outlineLevel="0" collapsed="false">
      <c r="B14" s="9" t="s">
        <v>12</v>
      </c>
      <c r="C14" s="10" t="s">
        <v>13</v>
      </c>
      <c r="D14" s="11" t="s">
        <v>6</v>
      </c>
      <c r="E14" s="12" t="s">
        <v>14</v>
      </c>
      <c r="F14" s="12"/>
      <c r="G14" s="12"/>
      <c r="H14" s="12"/>
      <c r="I14" s="12"/>
      <c r="J14" s="12"/>
      <c r="K14" s="12"/>
      <c r="L14" s="12"/>
      <c r="M14" s="12"/>
    </row>
    <row r="15" customFormat="false" ht="21.75" hidden="false" customHeight="true" outlineLevel="0" collapsed="false">
      <c r="B15" s="13" t="s">
        <v>15</v>
      </c>
      <c r="C15" s="14" t="s">
        <v>16</v>
      </c>
      <c r="D15" s="15" t="s">
        <v>6</v>
      </c>
      <c r="E15" s="16" t="s">
        <v>17</v>
      </c>
      <c r="F15" s="16"/>
      <c r="G15" s="16"/>
      <c r="H15" s="16"/>
      <c r="I15" s="16"/>
      <c r="J15" s="16"/>
      <c r="K15" s="16"/>
      <c r="L15" s="16"/>
      <c r="M15" s="16"/>
    </row>
    <row r="16" customFormat="false" ht="21.75" hidden="false" customHeight="true" outlineLevel="0" collapsed="false">
      <c r="B16" s="9" t="s">
        <v>18</v>
      </c>
      <c r="C16" s="10" t="s">
        <v>19</v>
      </c>
      <c r="D16" s="11" t="s">
        <v>20</v>
      </c>
      <c r="E16" s="12" t="s">
        <v>21</v>
      </c>
      <c r="F16" s="12"/>
      <c r="G16" s="12"/>
      <c r="H16" s="12"/>
      <c r="I16" s="12"/>
      <c r="J16" s="12"/>
      <c r="K16" s="12"/>
      <c r="L16" s="12"/>
      <c r="M16" s="12"/>
    </row>
    <row r="17" customFormat="false" ht="21.75" hidden="false" customHeight="true" outlineLevel="0" collapsed="false">
      <c r="B17" s="13" t="s">
        <v>22</v>
      </c>
      <c r="C17" s="14" t="s">
        <v>23</v>
      </c>
      <c r="D17" s="15" t="s">
        <v>20</v>
      </c>
      <c r="E17" s="16" t="s">
        <v>24</v>
      </c>
      <c r="F17" s="16"/>
      <c r="G17" s="16"/>
      <c r="H17" s="16"/>
      <c r="I17" s="16"/>
      <c r="J17" s="16"/>
      <c r="K17" s="16"/>
      <c r="L17" s="16"/>
      <c r="M17" s="16"/>
    </row>
    <row r="18" customFormat="false" ht="21.75" hidden="false" customHeight="true" outlineLevel="0" collapsed="false">
      <c r="B18" s="9" t="s">
        <v>25</v>
      </c>
      <c r="C18" s="10" t="s">
        <v>26</v>
      </c>
      <c r="D18" s="11" t="s">
        <v>3</v>
      </c>
      <c r="E18" s="12" t="s">
        <v>27</v>
      </c>
      <c r="F18" s="12"/>
      <c r="G18" s="12"/>
      <c r="H18" s="12"/>
      <c r="I18" s="12"/>
      <c r="J18" s="12"/>
      <c r="K18" s="12"/>
      <c r="L18" s="12"/>
      <c r="M18" s="12"/>
    </row>
    <row r="19" customFormat="false" ht="21.75" hidden="false" customHeight="true" outlineLevel="0" collapsed="false">
      <c r="B19" s="13" t="s">
        <v>28</v>
      </c>
      <c r="C19" s="14" t="s">
        <v>29</v>
      </c>
      <c r="D19" s="15" t="s">
        <v>3</v>
      </c>
      <c r="E19" s="16" t="s">
        <v>30</v>
      </c>
      <c r="F19" s="16"/>
      <c r="G19" s="16"/>
      <c r="H19" s="16"/>
      <c r="I19" s="16"/>
      <c r="J19" s="16"/>
      <c r="K19" s="16"/>
      <c r="L19" s="16"/>
      <c r="M19" s="16"/>
    </row>
    <row r="20" customFormat="false" ht="21.75" hidden="false" customHeight="true" outlineLevel="0" collapsed="false">
      <c r="B20" s="9" t="s">
        <v>31</v>
      </c>
      <c r="C20" s="10" t="s">
        <v>32</v>
      </c>
      <c r="D20" s="11" t="s">
        <v>20</v>
      </c>
      <c r="E20" s="12" t="s">
        <v>33</v>
      </c>
      <c r="F20" s="12"/>
      <c r="G20" s="12"/>
      <c r="H20" s="12"/>
      <c r="I20" s="12"/>
      <c r="J20" s="12"/>
      <c r="K20" s="12"/>
      <c r="L20" s="12"/>
      <c r="M20" s="12"/>
    </row>
    <row r="22" customFormat="false" ht="18" hidden="false" customHeight="true" outlineLevel="0" collapsed="false">
      <c r="A22" s="4" t="s">
        <v>34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customFormat="false" ht="15" hidden="false" customHeight="true" outlineLevel="0" collapsed="false">
      <c r="B23" s="17" t="s">
        <v>35</v>
      </c>
      <c r="C23" s="9" t="s">
        <v>36</v>
      </c>
      <c r="D23" s="9"/>
      <c r="E23" s="9"/>
      <c r="F23" s="9"/>
      <c r="G23" s="9"/>
      <c r="H23" s="9"/>
      <c r="I23" s="9"/>
      <c r="J23" s="9"/>
      <c r="K23" s="9"/>
      <c r="L23" s="9"/>
      <c r="M23" s="9"/>
    </row>
    <row r="24" customFormat="false" ht="15" hidden="false" customHeight="true" outlineLevel="0" collapsed="false">
      <c r="B24" s="18" t="s">
        <v>37</v>
      </c>
      <c r="C24" s="13" t="s">
        <v>38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customFormat="false" ht="15" hidden="false" customHeight="true" outlineLevel="0" collapsed="false">
      <c r="B25" s="17" t="s">
        <v>39</v>
      </c>
      <c r="C25" s="9" t="s">
        <v>40</v>
      </c>
      <c r="D25" s="9"/>
      <c r="E25" s="9"/>
      <c r="F25" s="9"/>
      <c r="G25" s="9"/>
      <c r="H25" s="9"/>
      <c r="I25" s="9"/>
      <c r="J25" s="9"/>
      <c r="K25" s="9"/>
      <c r="L25" s="9"/>
      <c r="M25" s="9"/>
    </row>
    <row r="26" customFormat="false" ht="15" hidden="false" customHeight="true" outlineLevel="0" collapsed="false">
      <c r="B26" s="18" t="s">
        <v>41</v>
      </c>
      <c r="C26" s="13" t="s">
        <v>42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customFormat="false" ht="15" hidden="false" customHeight="true" outlineLevel="0" collapsed="false">
      <c r="B27" s="17" t="s">
        <v>43</v>
      </c>
      <c r="C27" s="9" t="s">
        <v>44</v>
      </c>
      <c r="D27" s="9"/>
      <c r="E27" s="9"/>
      <c r="F27" s="9"/>
      <c r="G27" s="9"/>
      <c r="H27" s="9"/>
      <c r="I27" s="9"/>
      <c r="J27" s="9"/>
      <c r="K27" s="9"/>
      <c r="L27" s="9"/>
      <c r="M27" s="9"/>
    </row>
    <row r="28" customFormat="false" ht="15" hidden="false" customHeight="true" outlineLevel="0" collapsed="false">
      <c r="B28" s="18" t="s">
        <v>45</v>
      </c>
      <c r="C28" s="13" t="s">
        <v>46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customFormat="false" ht="15" hidden="false" customHeight="true" outlineLevel="0" collapsed="false">
      <c r="B29" s="17" t="s">
        <v>47</v>
      </c>
      <c r="C29" s="9" t="s">
        <v>48</v>
      </c>
      <c r="D29" s="9"/>
      <c r="E29" s="9"/>
      <c r="F29" s="9"/>
      <c r="G29" s="9"/>
      <c r="H29" s="9"/>
      <c r="I29" s="9"/>
      <c r="J29" s="9"/>
      <c r="K29" s="9"/>
      <c r="L29" s="9"/>
      <c r="M29" s="9"/>
    </row>
    <row r="30" customFormat="false" ht="15" hidden="false" customHeight="true" outlineLevel="0" collapsed="false">
      <c r="B30" s="18" t="s">
        <v>49</v>
      </c>
      <c r="C30" s="13" t="s">
        <v>50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Format="false" ht="15" hidden="false" customHeight="true" outlineLevel="0" collapsed="false">
      <c r="B31" s="17" t="s">
        <v>51</v>
      </c>
      <c r="C31" s="9" t="s">
        <v>52</v>
      </c>
      <c r="D31" s="9"/>
      <c r="E31" s="9"/>
      <c r="F31" s="9"/>
      <c r="G31" s="9"/>
      <c r="H31" s="9"/>
      <c r="I31" s="9"/>
      <c r="J31" s="9"/>
      <c r="K31" s="9"/>
      <c r="L31" s="9"/>
      <c r="M31" s="9"/>
    </row>
    <row r="32" customFormat="false" ht="15" hidden="false" customHeight="true" outlineLevel="0" collapsed="false">
      <c r="B32" s="18" t="s">
        <v>53</v>
      </c>
      <c r="C32" s="13" t="s">
        <v>54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Format="false" ht="15" hidden="false" customHeight="true" outlineLevel="0" collapsed="false">
      <c r="B33" s="17" t="s">
        <v>55</v>
      </c>
      <c r="C33" s="9" t="s">
        <v>56</v>
      </c>
      <c r="D33" s="9"/>
      <c r="E33" s="9"/>
      <c r="F33" s="9"/>
      <c r="G33" s="9"/>
      <c r="H33" s="9"/>
      <c r="I33" s="9"/>
      <c r="J33" s="9"/>
      <c r="K33" s="9"/>
      <c r="L33" s="9"/>
      <c r="M33" s="9"/>
    </row>
    <row r="34" customFormat="false" ht="15" hidden="false" customHeight="true" outlineLevel="0" collapsed="false">
      <c r="B34" s="18" t="s">
        <v>57</v>
      </c>
      <c r="C34" s="13" t="s">
        <v>58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6" customFormat="false" ht="43.5" hidden="false" customHeight="true" outlineLevel="0" collapsed="false">
      <c r="A36" s="19" t="s">
        <v>59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</sheetData>
  <mergeCells count="31">
    <mergeCell ref="A1:M1"/>
    <mergeCell ref="A2:M2"/>
    <mergeCell ref="A4:M4"/>
    <mergeCell ref="B5:M5"/>
    <mergeCell ref="A7:M7"/>
    <mergeCell ref="B8:M8"/>
    <mergeCell ref="B9:M9"/>
    <mergeCell ref="B10:M10"/>
    <mergeCell ref="B11:M11"/>
    <mergeCell ref="A13:M13"/>
    <mergeCell ref="E14:M14"/>
    <mergeCell ref="E15:M15"/>
    <mergeCell ref="E16:M16"/>
    <mergeCell ref="E17:M17"/>
    <mergeCell ref="E18:M18"/>
    <mergeCell ref="E19:M19"/>
    <mergeCell ref="E20:M20"/>
    <mergeCell ref="A22:M22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A36:M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90"/>
  </cols>
  <sheetData>
    <row r="1" customFormat="false" ht="25.5" hidden="false" customHeight="true" outlineLevel="0" collapsed="false">
      <c r="A1" s="2" t="s">
        <v>60</v>
      </c>
      <c r="B1" s="2"/>
      <c r="C1" s="2"/>
    </row>
    <row r="2" customFormat="false" ht="30" hidden="false" customHeight="true" outlineLevel="0" collapsed="false">
      <c r="A2" s="3" t="s">
        <v>61</v>
      </c>
      <c r="B2" s="3"/>
      <c r="C2" s="3"/>
    </row>
    <row r="4" customFormat="false" ht="18" hidden="false" customHeight="true" outlineLevel="0" collapsed="false">
      <c r="A4" s="4" t="s">
        <v>62</v>
      </c>
      <c r="B4" s="4"/>
      <c r="C4" s="4"/>
    </row>
    <row r="5" customFormat="false" ht="15" hidden="false" customHeight="true" outlineLevel="0" collapsed="false">
      <c r="B5" s="20" t="s">
        <v>63</v>
      </c>
      <c r="C5" s="21" t="s">
        <v>64</v>
      </c>
    </row>
    <row r="6" customFormat="false" ht="21.75" hidden="false" customHeight="true" outlineLevel="0" collapsed="false">
      <c r="B6" s="20" t="s">
        <v>65</v>
      </c>
      <c r="C6" s="21" t="s">
        <v>66</v>
      </c>
    </row>
    <row r="7" customFormat="false" ht="21.75" hidden="false" customHeight="true" outlineLevel="0" collapsed="false">
      <c r="B7" s="20" t="s">
        <v>67</v>
      </c>
      <c r="C7" s="21" t="s">
        <v>68</v>
      </c>
    </row>
    <row r="8" customFormat="false" ht="21.75" hidden="false" customHeight="true" outlineLevel="0" collapsed="false">
      <c r="B8" s="20" t="s">
        <v>69</v>
      </c>
      <c r="C8" s="21" t="s">
        <v>70</v>
      </c>
    </row>
    <row r="9" customFormat="false" ht="21.75" hidden="false" customHeight="true" outlineLevel="0" collapsed="false">
      <c r="B9" s="20" t="s">
        <v>71</v>
      </c>
      <c r="C9" s="21" t="s">
        <v>72</v>
      </c>
    </row>
    <row r="10" customFormat="false" ht="21.75" hidden="false" customHeight="true" outlineLevel="0" collapsed="false">
      <c r="B10" s="20" t="s">
        <v>73</v>
      </c>
      <c r="C10" s="21" t="s">
        <v>74</v>
      </c>
    </row>
    <row r="11" customFormat="false" ht="21.75" hidden="false" customHeight="true" outlineLevel="0" collapsed="false">
      <c r="B11" s="20" t="s">
        <v>75</v>
      </c>
      <c r="C11" s="21" t="s">
        <v>76</v>
      </c>
    </row>
    <row r="12" customFormat="false" ht="18" hidden="false" customHeight="true" outlineLevel="0" collapsed="false">
      <c r="A12" s="4" t="s">
        <v>77</v>
      </c>
      <c r="B12" s="4"/>
      <c r="C12" s="4"/>
    </row>
    <row r="13" customFormat="false" ht="32.25" hidden="false" customHeight="true" outlineLevel="0" collapsed="false">
      <c r="B13" s="20" t="s">
        <v>78</v>
      </c>
      <c r="C13" s="21" t="s">
        <v>79</v>
      </c>
    </row>
    <row r="14" customFormat="false" ht="21.75" hidden="false" customHeight="true" outlineLevel="0" collapsed="false">
      <c r="B14" s="20" t="s">
        <v>80</v>
      </c>
      <c r="C14" s="21" t="s">
        <v>81</v>
      </c>
    </row>
    <row r="15" customFormat="false" ht="32.25" hidden="false" customHeight="true" outlineLevel="0" collapsed="false">
      <c r="B15" s="20" t="s">
        <v>82</v>
      </c>
      <c r="C15" s="21" t="s">
        <v>83</v>
      </c>
    </row>
    <row r="16" customFormat="false" ht="21.75" hidden="false" customHeight="true" outlineLevel="0" collapsed="false">
      <c r="B16" s="20" t="s">
        <v>84</v>
      </c>
      <c r="C16" s="21" t="s">
        <v>85</v>
      </c>
    </row>
    <row r="17" customFormat="false" ht="18" hidden="false" customHeight="true" outlineLevel="0" collapsed="false">
      <c r="A17" s="4" t="s">
        <v>86</v>
      </c>
      <c r="B17" s="4"/>
      <c r="C17" s="4"/>
    </row>
    <row r="18" customFormat="false" ht="21.75" hidden="false" customHeight="true" outlineLevel="0" collapsed="false">
      <c r="B18" s="20" t="s">
        <v>87</v>
      </c>
      <c r="C18" s="21" t="s">
        <v>88</v>
      </c>
    </row>
    <row r="19" customFormat="false" ht="21.75" hidden="false" customHeight="true" outlineLevel="0" collapsed="false">
      <c r="B19" s="20" t="s">
        <v>89</v>
      </c>
      <c r="C19" s="21" t="s">
        <v>90</v>
      </c>
    </row>
    <row r="20" customFormat="false" ht="15" hidden="false" customHeight="true" outlineLevel="0" collapsed="false">
      <c r="B20" s="20" t="s">
        <v>91</v>
      </c>
      <c r="C20" s="21" t="s">
        <v>92</v>
      </c>
    </row>
    <row r="21" customFormat="false" ht="21.75" hidden="false" customHeight="true" outlineLevel="0" collapsed="false">
      <c r="B21" s="20" t="s">
        <v>93</v>
      </c>
      <c r="C21" s="21" t="s">
        <v>94</v>
      </c>
    </row>
    <row r="22" customFormat="false" ht="21.75" hidden="false" customHeight="true" outlineLevel="0" collapsed="false">
      <c r="B22" s="20" t="s">
        <v>95</v>
      </c>
      <c r="C22" s="21" t="s">
        <v>96</v>
      </c>
    </row>
    <row r="23" customFormat="false" ht="21.75" hidden="false" customHeight="true" outlineLevel="0" collapsed="false">
      <c r="B23" s="20" t="s">
        <v>97</v>
      </c>
      <c r="C23" s="21" t="s">
        <v>98</v>
      </c>
    </row>
    <row r="24" customFormat="false" ht="21.75" hidden="false" customHeight="true" outlineLevel="0" collapsed="false">
      <c r="B24" s="20" t="s">
        <v>99</v>
      </c>
      <c r="C24" s="21" t="s">
        <v>100</v>
      </c>
    </row>
  </sheetData>
  <mergeCells count="5">
    <mergeCell ref="A1:C1"/>
    <mergeCell ref="A2:C2"/>
    <mergeCell ref="A4:C4"/>
    <mergeCell ref="A12:C12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2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40"/>
  </cols>
  <sheetData>
    <row r="1" customFormat="false" ht="25.5" hidden="false" customHeight="true" outlineLevel="0" collapsed="false">
      <c r="A1" s="2" t="s">
        <v>101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102</v>
      </c>
      <c r="B2" s="3"/>
      <c r="C2" s="3"/>
      <c r="D2" s="3"/>
      <c r="E2" s="3"/>
      <c r="F2" s="3"/>
    </row>
    <row r="4" customFormat="false" ht="18" hidden="false" customHeight="true" outlineLevel="0" collapsed="false">
      <c r="A4" s="4" t="s">
        <v>103</v>
      </c>
      <c r="B4" s="4"/>
      <c r="C4" s="4"/>
      <c r="D4" s="4"/>
      <c r="E4" s="4"/>
      <c r="F4" s="4"/>
    </row>
    <row r="5" customFormat="false" ht="15" hidden="false" customHeight="true" outlineLevel="0" collapsed="false">
      <c r="B5" s="22" t="s">
        <v>104</v>
      </c>
      <c r="C5" s="22" t="s">
        <v>105</v>
      </c>
      <c r="D5" s="22" t="s">
        <v>106</v>
      </c>
      <c r="E5" s="22" t="s">
        <v>107</v>
      </c>
      <c r="F5" s="22" t="s">
        <v>108</v>
      </c>
    </row>
    <row r="6" customFormat="false" ht="21.75" hidden="false" customHeight="true" outlineLevel="0" collapsed="false">
      <c r="B6" s="23" t="s">
        <v>109</v>
      </c>
      <c r="C6" s="24" t="s">
        <v>110</v>
      </c>
      <c r="D6" s="25" t="s">
        <v>111</v>
      </c>
      <c r="E6" s="26" t="s">
        <v>112</v>
      </c>
      <c r="F6" s="24" t="s">
        <v>113</v>
      </c>
    </row>
    <row r="7" customFormat="false" ht="21.75" hidden="false" customHeight="true" outlineLevel="0" collapsed="false">
      <c r="B7" s="23" t="s">
        <v>114</v>
      </c>
      <c r="C7" s="24" t="s">
        <v>115</v>
      </c>
      <c r="D7" s="25" t="s">
        <v>116</v>
      </c>
      <c r="E7" s="26" t="s">
        <v>112</v>
      </c>
      <c r="F7" s="24" t="s">
        <v>117</v>
      </c>
    </row>
    <row r="8" customFormat="false" ht="32.25" hidden="false" customHeight="true" outlineLevel="0" collapsed="false">
      <c r="B8" s="23" t="s">
        <v>118</v>
      </c>
      <c r="C8" s="24" t="s">
        <v>119</v>
      </c>
      <c r="D8" s="25" t="s">
        <v>120</v>
      </c>
      <c r="E8" s="26" t="s">
        <v>112</v>
      </c>
      <c r="F8" s="24" t="s">
        <v>121</v>
      </c>
    </row>
    <row r="9" customFormat="false" ht="21.75" hidden="false" customHeight="true" outlineLevel="0" collapsed="false">
      <c r="B9" s="23" t="s">
        <v>122</v>
      </c>
      <c r="C9" s="24" t="s">
        <v>123</v>
      </c>
      <c r="D9" s="25" t="s">
        <v>124</v>
      </c>
      <c r="E9" s="26" t="s">
        <v>112</v>
      </c>
      <c r="F9" s="24" t="s">
        <v>125</v>
      </c>
    </row>
    <row r="10" customFormat="false" ht="21.75" hidden="false" customHeight="true" outlineLevel="0" collapsed="false">
      <c r="B10" s="23" t="s">
        <v>126</v>
      </c>
      <c r="C10" s="24" t="s">
        <v>127</v>
      </c>
      <c r="D10" s="25" t="s">
        <v>128</v>
      </c>
      <c r="E10" s="26" t="s">
        <v>112</v>
      </c>
      <c r="F10" s="24" t="s">
        <v>129</v>
      </c>
    </row>
    <row r="11" customFormat="false" ht="21.75" hidden="false" customHeight="true" outlineLevel="0" collapsed="false">
      <c r="B11" s="23" t="s">
        <v>130</v>
      </c>
      <c r="C11" s="24" t="s">
        <v>131</v>
      </c>
      <c r="D11" s="25" t="s">
        <v>132</v>
      </c>
      <c r="E11" s="26" t="s">
        <v>112</v>
      </c>
      <c r="F11" s="24" t="s">
        <v>133</v>
      </c>
    </row>
    <row r="12" customFormat="false" ht="21.75" hidden="false" customHeight="true" outlineLevel="0" collapsed="false">
      <c r="B12" s="23" t="s">
        <v>134</v>
      </c>
      <c r="C12" s="24" t="s">
        <v>135</v>
      </c>
      <c r="D12" s="25" t="s">
        <v>116</v>
      </c>
      <c r="E12" s="26" t="s">
        <v>112</v>
      </c>
      <c r="F12" s="24" t="s">
        <v>136</v>
      </c>
    </row>
    <row r="13" customFormat="false" ht="21.75" hidden="false" customHeight="true" outlineLevel="0" collapsed="false">
      <c r="B13" s="27" t="s">
        <v>137</v>
      </c>
      <c r="C13" s="8" t="s">
        <v>138</v>
      </c>
      <c r="D13" s="28" t="s">
        <v>139</v>
      </c>
      <c r="E13" s="29" t="s">
        <v>140</v>
      </c>
      <c r="F13" s="8" t="s">
        <v>141</v>
      </c>
    </row>
    <row r="14" customFormat="false" ht="18" hidden="false" customHeight="true" outlineLevel="0" collapsed="false">
      <c r="A14" s="4" t="s">
        <v>142</v>
      </c>
      <c r="B14" s="4"/>
      <c r="C14" s="4"/>
      <c r="D14" s="4"/>
      <c r="E14" s="4"/>
      <c r="F14" s="4"/>
    </row>
    <row r="15" customFormat="false" ht="15" hidden="false" customHeight="true" outlineLevel="0" collapsed="false">
      <c r="B15" s="22" t="s">
        <v>104</v>
      </c>
      <c r="C15" s="22" t="s">
        <v>105</v>
      </c>
      <c r="D15" s="22" t="s">
        <v>106</v>
      </c>
      <c r="E15" s="22" t="s">
        <v>107</v>
      </c>
      <c r="F15" s="22" t="s">
        <v>108</v>
      </c>
    </row>
    <row r="16" customFormat="false" ht="32.25" hidden="false" customHeight="true" outlineLevel="0" collapsed="false">
      <c r="B16" s="23" t="s">
        <v>143</v>
      </c>
      <c r="C16" s="24" t="s">
        <v>144</v>
      </c>
      <c r="D16" s="25" t="s">
        <v>145</v>
      </c>
      <c r="E16" s="26" t="s">
        <v>112</v>
      </c>
      <c r="F16" s="24" t="s">
        <v>146</v>
      </c>
    </row>
    <row r="17" customFormat="false" ht="21.75" hidden="false" customHeight="true" outlineLevel="0" collapsed="false">
      <c r="B17" s="23" t="s">
        <v>147</v>
      </c>
      <c r="C17" s="24" t="s">
        <v>148</v>
      </c>
      <c r="D17" s="25" t="s">
        <v>149</v>
      </c>
      <c r="E17" s="26" t="s">
        <v>112</v>
      </c>
      <c r="F17" s="24" t="s">
        <v>150</v>
      </c>
    </row>
    <row r="18" customFormat="false" ht="15" hidden="false" customHeight="true" outlineLevel="0" collapsed="false">
      <c r="B18" s="23" t="s">
        <v>151</v>
      </c>
      <c r="C18" s="24" t="s">
        <v>152</v>
      </c>
      <c r="D18" s="25" t="s">
        <v>153</v>
      </c>
      <c r="E18" s="26" t="s">
        <v>112</v>
      </c>
      <c r="F18" s="24" t="s">
        <v>154</v>
      </c>
    </row>
    <row r="19" customFormat="false" ht="32.25" hidden="false" customHeight="true" outlineLevel="0" collapsed="false">
      <c r="B19" s="23" t="s">
        <v>155</v>
      </c>
      <c r="C19" s="24" t="s">
        <v>156</v>
      </c>
      <c r="D19" s="25" t="s">
        <v>157</v>
      </c>
      <c r="E19" s="26" t="s">
        <v>112</v>
      </c>
      <c r="F19" s="24" t="s">
        <v>158</v>
      </c>
    </row>
    <row r="20" customFormat="false" ht="21.75" hidden="false" customHeight="true" outlineLevel="0" collapsed="false">
      <c r="B20" s="23" t="s">
        <v>159</v>
      </c>
      <c r="C20" s="24" t="s">
        <v>160</v>
      </c>
      <c r="D20" s="25" t="s">
        <v>116</v>
      </c>
      <c r="E20" s="26" t="s">
        <v>112</v>
      </c>
      <c r="F20" s="24" t="s">
        <v>161</v>
      </c>
    </row>
    <row r="21" customFormat="false" ht="21.75" hidden="false" customHeight="true" outlineLevel="0" collapsed="false">
      <c r="B21" s="23" t="s">
        <v>162</v>
      </c>
      <c r="C21" s="24" t="s">
        <v>163</v>
      </c>
      <c r="D21" s="25" t="s">
        <v>116</v>
      </c>
      <c r="E21" s="26" t="s">
        <v>112</v>
      </c>
      <c r="F21" s="24" t="s">
        <v>164</v>
      </c>
    </row>
    <row r="22" customFormat="false" ht="21.75" hidden="false" customHeight="true" outlineLevel="0" collapsed="false">
      <c r="B22" s="23" t="s">
        <v>165</v>
      </c>
      <c r="C22" s="24" t="s">
        <v>166</v>
      </c>
      <c r="D22" s="25" t="s">
        <v>116</v>
      </c>
      <c r="E22" s="26" t="s">
        <v>112</v>
      </c>
      <c r="F22" s="24" t="s">
        <v>167</v>
      </c>
    </row>
    <row r="23" customFormat="false" ht="21.75" hidden="false" customHeight="true" outlineLevel="0" collapsed="false">
      <c r="B23" s="23" t="s">
        <v>91</v>
      </c>
      <c r="C23" s="24" t="s">
        <v>168</v>
      </c>
      <c r="D23" s="25" t="s">
        <v>169</v>
      </c>
      <c r="E23" s="26" t="s">
        <v>112</v>
      </c>
      <c r="F23" s="24" t="s">
        <v>170</v>
      </c>
    </row>
    <row r="24" customFormat="false" ht="18" hidden="false" customHeight="true" outlineLevel="0" collapsed="false">
      <c r="A24" s="4" t="s">
        <v>171</v>
      </c>
      <c r="B24" s="4"/>
      <c r="C24" s="4"/>
      <c r="D24" s="4"/>
      <c r="E24" s="4"/>
      <c r="F24" s="4"/>
    </row>
    <row r="25" customFormat="false" ht="15" hidden="false" customHeight="true" outlineLevel="0" collapsed="false">
      <c r="B25" s="22" t="s">
        <v>104</v>
      </c>
      <c r="C25" s="22" t="s">
        <v>105</v>
      </c>
      <c r="D25" s="22" t="s">
        <v>106</v>
      </c>
      <c r="E25" s="22" t="s">
        <v>107</v>
      </c>
      <c r="F25" s="22" t="s">
        <v>108</v>
      </c>
    </row>
    <row r="26" customFormat="false" ht="21.75" hidden="false" customHeight="true" outlineLevel="0" collapsed="false">
      <c r="B26" s="23" t="s">
        <v>172</v>
      </c>
      <c r="C26" s="24" t="s">
        <v>173</v>
      </c>
      <c r="D26" s="25" t="s">
        <v>116</v>
      </c>
      <c r="E26" s="26" t="s">
        <v>112</v>
      </c>
      <c r="F26" s="24" t="s">
        <v>174</v>
      </c>
    </row>
    <row r="27" customFormat="false" ht="21.75" hidden="false" customHeight="true" outlineLevel="0" collapsed="false">
      <c r="B27" s="23" t="s">
        <v>175</v>
      </c>
      <c r="C27" s="24" t="s">
        <v>176</v>
      </c>
      <c r="D27" s="25" t="s">
        <v>177</v>
      </c>
      <c r="E27" s="26" t="s">
        <v>112</v>
      </c>
      <c r="F27" s="24" t="s">
        <v>178</v>
      </c>
    </row>
    <row r="28" customFormat="false" ht="21.75" hidden="false" customHeight="true" outlineLevel="0" collapsed="false">
      <c r="B28" s="23" t="s">
        <v>179</v>
      </c>
      <c r="C28" s="24" t="s">
        <v>180</v>
      </c>
      <c r="D28" s="25" t="s">
        <v>181</v>
      </c>
      <c r="E28" s="26" t="s">
        <v>112</v>
      </c>
      <c r="F28" s="24" t="s">
        <v>182</v>
      </c>
    </row>
    <row r="29" customFormat="false" ht="21.75" hidden="false" customHeight="true" outlineLevel="0" collapsed="false">
      <c r="B29" s="23" t="s">
        <v>183</v>
      </c>
      <c r="C29" s="24" t="s">
        <v>184</v>
      </c>
      <c r="D29" s="25" t="s">
        <v>185</v>
      </c>
      <c r="E29" s="26" t="s">
        <v>112</v>
      </c>
      <c r="F29" s="24" t="s">
        <v>186</v>
      </c>
    </row>
    <row r="30" customFormat="false" ht="18" hidden="false" customHeight="true" outlineLevel="0" collapsed="false">
      <c r="A30" s="30" t="s">
        <v>187</v>
      </c>
      <c r="B30" s="30"/>
      <c r="C30" s="30"/>
      <c r="D30" s="30"/>
      <c r="E30" s="30"/>
      <c r="F30" s="30"/>
    </row>
    <row r="31" customFormat="false" ht="15" hidden="false" customHeight="true" outlineLevel="0" collapsed="false">
      <c r="B31" s="22" t="s">
        <v>104</v>
      </c>
      <c r="C31" s="22" t="s">
        <v>188</v>
      </c>
      <c r="D31" s="22" t="s">
        <v>189</v>
      </c>
      <c r="E31" s="22" t="s">
        <v>107</v>
      </c>
      <c r="F31" s="22" t="s">
        <v>190</v>
      </c>
    </row>
    <row r="32" customFormat="false" ht="21.75" hidden="false" customHeight="true" outlineLevel="0" collapsed="false">
      <c r="B32" s="31" t="s">
        <v>191</v>
      </c>
      <c r="C32" s="6" t="s">
        <v>192</v>
      </c>
      <c r="D32" s="32" t="s">
        <v>193</v>
      </c>
      <c r="E32" s="33" t="s">
        <v>194</v>
      </c>
      <c r="F32" s="6" t="s">
        <v>195</v>
      </c>
    </row>
    <row r="33" customFormat="false" ht="15" hidden="false" customHeight="true" outlineLevel="0" collapsed="false">
      <c r="B33" s="31" t="s">
        <v>196</v>
      </c>
      <c r="C33" s="6" t="s">
        <v>197</v>
      </c>
      <c r="D33" s="32" t="s">
        <v>198</v>
      </c>
      <c r="E33" s="33" t="s">
        <v>194</v>
      </c>
      <c r="F33" s="6" t="s">
        <v>199</v>
      </c>
    </row>
    <row r="34" customFormat="false" ht="21.75" hidden="false" customHeight="true" outlineLevel="0" collapsed="false">
      <c r="B34" s="27" t="s">
        <v>200</v>
      </c>
      <c r="C34" s="8" t="s">
        <v>201</v>
      </c>
      <c r="D34" s="28" t="s">
        <v>189</v>
      </c>
      <c r="E34" s="29" t="s">
        <v>202</v>
      </c>
      <c r="F34" s="8" t="s">
        <v>203</v>
      </c>
    </row>
  </sheetData>
  <mergeCells count="6">
    <mergeCell ref="A1:F1"/>
    <mergeCell ref="A2:F2"/>
    <mergeCell ref="A4:F4"/>
    <mergeCell ref="A14:F14"/>
    <mergeCell ref="A24:F24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40"/>
    <col collapsed="false" customWidth="true" hidden="false" outlineLevel="0" max="4" min="4" style="1" width="13"/>
    <col collapsed="false" customWidth="true" hidden="false" outlineLevel="0" max="5" min="5" style="1" width="60"/>
    <col collapsed="false" customWidth="true" hidden="false" outlineLevel="0" max="6" min="6" style="1" width="18"/>
  </cols>
  <sheetData>
    <row r="1" customFormat="false" ht="25.5" hidden="false" customHeight="true" outlineLevel="0" collapsed="false">
      <c r="A1" s="2" t="s">
        <v>204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205</v>
      </c>
      <c r="B2" s="3"/>
      <c r="C2" s="3"/>
      <c r="D2" s="3"/>
      <c r="E2" s="3"/>
      <c r="F2" s="3"/>
    </row>
    <row r="4" customFormat="false" ht="18" hidden="false" customHeight="true" outlineLevel="0" collapsed="false">
      <c r="A4" s="4" t="s">
        <v>206</v>
      </c>
      <c r="B4" s="4"/>
      <c r="C4" s="4"/>
      <c r="D4" s="4"/>
      <c r="E4" s="4"/>
      <c r="F4" s="4"/>
    </row>
    <row r="5" customFormat="false" ht="21.75" hidden="false" customHeight="true" outlineLevel="0" collapsed="false">
      <c r="B5" s="22" t="s">
        <v>207</v>
      </c>
      <c r="C5" s="22" t="s">
        <v>208</v>
      </c>
      <c r="D5" s="22" t="s">
        <v>107</v>
      </c>
      <c r="E5" s="22" t="s">
        <v>209</v>
      </c>
      <c r="F5" s="22" t="s">
        <v>210</v>
      </c>
    </row>
    <row r="6" customFormat="false" ht="45.75" hidden="false" customHeight="true" outlineLevel="0" collapsed="false">
      <c r="B6" s="34" t="s">
        <v>211</v>
      </c>
      <c r="C6" s="35" t="s">
        <v>212</v>
      </c>
      <c r="D6" s="11" t="s">
        <v>213</v>
      </c>
      <c r="E6" s="9" t="s">
        <v>214</v>
      </c>
      <c r="F6" s="12" t="s">
        <v>215</v>
      </c>
    </row>
    <row r="7" customFormat="false" ht="45.75" hidden="false" customHeight="true" outlineLevel="0" collapsed="false">
      <c r="B7" s="36" t="s">
        <v>216</v>
      </c>
      <c r="C7" s="37" t="s">
        <v>217</v>
      </c>
      <c r="D7" s="15" t="s">
        <v>213</v>
      </c>
      <c r="E7" s="13" t="s">
        <v>218</v>
      </c>
      <c r="F7" s="16" t="s">
        <v>219</v>
      </c>
    </row>
    <row r="8" customFormat="false" ht="45.75" hidden="false" customHeight="true" outlineLevel="0" collapsed="false">
      <c r="B8" s="34" t="s">
        <v>220</v>
      </c>
      <c r="C8" s="35" t="s">
        <v>221</v>
      </c>
      <c r="D8" s="11" t="s">
        <v>213</v>
      </c>
      <c r="E8" s="9" t="s">
        <v>222</v>
      </c>
      <c r="F8" s="12" t="s">
        <v>223</v>
      </c>
    </row>
    <row r="9" customFormat="false" ht="45.75" hidden="false" customHeight="true" outlineLevel="0" collapsed="false">
      <c r="B9" s="36" t="s">
        <v>224</v>
      </c>
      <c r="C9" s="37" t="s">
        <v>225</v>
      </c>
      <c r="D9" s="15" t="s">
        <v>213</v>
      </c>
      <c r="E9" s="13" t="s">
        <v>226</v>
      </c>
      <c r="F9" s="16" t="s">
        <v>227</v>
      </c>
    </row>
    <row r="11" customFormat="false" ht="18" hidden="false" customHeight="true" outlineLevel="0" collapsed="false">
      <c r="A11" s="4" t="s">
        <v>228</v>
      </c>
      <c r="B11" s="4"/>
      <c r="C11" s="4"/>
      <c r="D11" s="4"/>
      <c r="E11" s="4"/>
      <c r="F11" s="4"/>
    </row>
    <row r="12" customFormat="false" ht="21.75" hidden="false" customHeight="true" outlineLevel="0" collapsed="false">
      <c r="B12" s="22" t="s">
        <v>207</v>
      </c>
      <c r="C12" s="22" t="s">
        <v>229</v>
      </c>
      <c r="D12" s="22" t="s">
        <v>107</v>
      </c>
      <c r="E12" s="22" t="s">
        <v>230</v>
      </c>
      <c r="F12" s="22" t="s">
        <v>210</v>
      </c>
    </row>
    <row r="13" customFormat="false" ht="39.75" hidden="false" customHeight="true" outlineLevel="0" collapsed="false">
      <c r="B13" s="34" t="s">
        <v>231</v>
      </c>
      <c r="C13" s="35" t="s">
        <v>232</v>
      </c>
      <c r="D13" s="11" t="s">
        <v>233</v>
      </c>
      <c r="E13" s="9" t="s">
        <v>234</v>
      </c>
      <c r="F13" s="12" t="s">
        <v>235</v>
      </c>
    </row>
    <row r="14" customFormat="false" ht="39.75" hidden="false" customHeight="true" outlineLevel="0" collapsed="false">
      <c r="B14" s="36" t="s">
        <v>236</v>
      </c>
      <c r="C14" s="37" t="s">
        <v>237</v>
      </c>
      <c r="D14" s="15" t="s">
        <v>213</v>
      </c>
      <c r="E14" s="13" t="s">
        <v>238</v>
      </c>
      <c r="F14" s="16" t="s">
        <v>239</v>
      </c>
    </row>
    <row r="15" customFormat="false" ht="39.75" hidden="false" customHeight="true" outlineLevel="0" collapsed="false">
      <c r="B15" s="34" t="s">
        <v>240</v>
      </c>
      <c r="C15" s="35" t="s">
        <v>241</v>
      </c>
      <c r="D15" s="11" t="s">
        <v>213</v>
      </c>
      <c r="E15" s="9" t="s">
        <v>242</v>
      </c>
      <c r="F15" s="12" t="s">
        <v>243</v>
      </c>
    </row>
    <row r="16" customFormat="false" ht="39.75" hidden="false" customHeight="true" outlineLevel="0" collapsed="false">
      <c r="B16" s="36" t="s">
        <v>244</v>
      </c>
      <c r="C16" s="37" t="s">
        <v>245</v>
      </c>
      <c r="D16" s="15" t="s">
        <v>213</v>
      </c>
      <c r="E16" s="13" t="s">
        <v>246</v>
      </c>
      <c r="F16" s="16" t="s">
        <v>247</v>
      </c>
    </row>
    <row r="18" customFormat="false" ht="18" hidden="false" customHeight="true" outlineLevel="0" collapsed="false">
      <c r="A18" s="30" t="s">
        <v>248</v>
      </c>
      <c r="B18" s="30"/>
      <c r="C18" s="30"/>
      <c r="D18" s="30"/>
      <c r="E18" s="30"/>
      <c r="F18" s="30"/>
    </row>
    <row r="19" customFormat="false" ht="15" hidden="false" customHeight="true" outlineLevel="0" collapsed="false">
      <c r="B19" s="22" t="s">
        <v>207</v>
      </c>
      <c r="C19" s="22" t="s">
        <v>249</v>
      </c>
      <c r="D19" s="22" t="s">
        <v>250</v>
      </c>
      <c r="E19" s="22" t="s">
        <v>251</v>
      </c>
      <c r="F19" s="22" t="s">
        <v>252</v>
      </c>
    </row>
    <row r="20" customFormat="false" ht="42" hidden="false" customHeight="true" outlineLevel="0" collapsed="false">
      <c r="B20" s="38" t="s">
        <v>211</v>
      </c>
      <c r="C20" s="31" t="s">
        <v>253</v>
      </c>
      <c r="D20" s="33" t="s">
        <v>254</v>
      </c>
      <c r="E20" s="6" t="s">
        <v>255</v>
      </c>
      <c r="F20" s="6" t="s">
        <v>256</v>
      </c>
    </row>
    <row r="21" customFormat="false" ht="42" hidden="false" customHeight="true" outlineLevel="0" collapsed="false">
      <c r="B21" s="39" t="s">
        <v>216</v>
      </c>
      <c r="C21" s="40" t="s">
        <v>257</v>
      </c>
      <c r="D21" s="41" t="s">
        <v>258</v>
      </c>
      <c r="E21" s="42" t="s">
        <v>259</v>
      </c>
      <c r="F21" s="42" t="s">
        <v>260</v>
      </c>
    </row>
    <row r="22" customFormat="false" ht="42" hidden="false" customHeight="true" outlineLevel="0" collapsed="false">
      <c r="B22" s="38" t="s">
        <v>220</v>
      </c>
      <c r="C22" s="31" t="s">
        <v>261</v>
      </c>
      <c r="D22" s="33" t="s">
        <v>258</v>
      </c>
      <c r="E22" s="6" t="s">
        <v>262</v>
      </c>
      <c r="F22" s="6" t="s">
        <v>263</v>
      </c>
    </row>
    <row r="23" customFormat="false" ht="42" hidden="false" customHeight="true" outlineLevel="0" collapsed="false">
      <c r="B23" s="39" t="s">
        <v>224</v>
      </c>
      <c r="C23" s="40" t="s">
        <v>264</v>
      </c>
      <c r="D23" s="41" t="s">
        <v>254</v>
      </c>
      <c r="E23" s="42" t="s">
        <v>265</v>
      </c>
      <c r="F23" s="42" t="s">
        <v>266</v>
      </c>
    </row>
    <row r="24" customFormat="false" ht="42" hidden="false" customHeight="true" outlineLevel="0" collapsed="false">
      <c r="B24" s="38" t="s">
        <v>231</v>
      </c>
      <c r="C24" s="31" t="s">
        <v>267</v>
      </c>
      <c r="D24" s="33" t="s">
        <v>254</v>
      </c>
      <c r="E24" s="6" t="s">
        <v>268</v>
      </c>
      <c r="F24" s="6" t="s">
        <v>269</v>
      </c>
    </row>
  </sheetData>
  <mergeCells count="5">
    <mergeCell ref="A1:F1"/>
    <mergeCell ref="A2:F2"/>
    <mergeCell ref="A4:F4"/>
    <mergeCell ref="A11:F11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5"/>
    <col collapsed="false" customWidth="true" hidden="false" outlineLevel="0" max="2" min="2" style="1" width="6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6"/>
    <col collapsed="false" customWidth="true" hidden="false" outlineLevel="0" max="6" min="6" style="1" width="9"/>
    <col collapsed="false" customWidth="true" hidden="false" outlineLevel="0" max="7" min="7" style="1" width="16"/>
    <col collapsed="false" customWidth="true" hidden="false" outlineLevel="0" max="8" min="8" style="1" width="9"/>
    <col collapsed="false" customWidth="true" hidden="false" outlineLevel="0" max="9" min="9" style="1" width="40"/>
    <col collapsed="false" customWidth="true" hidden="false" outlineLevel="0" max="10" min="10" style="1" width="26"/>
    <col collapsed="false" customWidth="true" hidden="false" outlineLevel="0" max="12" min="11" style="1" width="18"/>
  </cols>
  <sheetData>
    <row r="1" customFormat="false" ht="25.5" hidden="false" customHeight="true" outlineLevel="0" collapsed="false">
      <c r="A1" s="2" t="s">
        <v>270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3" t="s">
        <v>271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3.75" hidden="false" customHeight="true" outlineLevel="0" collapsed="false">
      <c r="A4" s="19" t="s">
        <v>272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customFormat="false" ht="25.5" hidden="false" customHeight="true" outlineLevel="0" collapsed="false">
      <c r="A5" s="22" t="s">
        <v>273</v>
      </c>
      <c r="B5" s="22" t="s">
        <v>274</v>
      </c>
      <c r="C5" s="22" t="s">
        <v>275</v>
      </c>
      <c r="D5" s="22" t="s">
        <v>276</v>
      </c>
      <c r="E5" s="22" t="s">
        <v>277</v>
      </c>
      <c r="F5" s="22" t="s">
        <v>278</v>
      </c>
      <c r="G5" s="22" t="s">
        <v>279</v>
      </c>
      <c r="H5" s="22" t="s">
        <v>280</v>
      </c>
      <c r="I5" s="22" t="s">
        <v>281</v>
      </c>
      <c r="J5" s="22" t="s">
        <v>282</v>
      </c>
      <c r="K5" s="22" t="s">
        <v>283</v>
      </c>
      <c r="L5" s="22" t="s">
        <v>249</v>
      </c>
    </row>
    <row r="6" customFormat="false" ht="15.75" hidden="false" customHeight="true" outlineLevel="0" collapsed="false">
      <c r="A6" s="43" t="s">
        <v>284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</row>
    <row r="7" customFormat="false" ht="18.75" hidden="false" customHeight="true" outlineLevel="0" collapsed="false">
      <c r="A7" s="44" t="s">
        <v>211</v>
      </c>
      <c r="B7" s="44" t="s">
        <v>285</v>
      </c>
      <c r="C7" s="45" t="s">
        <v>286</v>
      </c>
      <c r="D7" s="46" t="s">
        <v>287</v>
      </c>
      <c r="E7" s="44" t="s">
        <v>288</v>
      </c>
      <c r="F7" s="44" t="s">
        <v>211</v>
      </c>
      <c r="G7" s="45" t="s">
        <v>289</v>
      </c>
      <c r="H7" s="44" t="s">
        <v>211</v>
      </c>
      <c r="I7" s="45" t="s">
        <v>290</v>
      </c>
      <c r="J7" s="45" t="s">
        <v>291</v>
      </c>
      <c r="K7" s="45" t="s">
        <v>292</v>
      </c>
      <c r="L7" s="47" t="s">
        <v>254</v>
      </c>
    </row>
    <row r="8" customFormat="false" ht="18.75" hidden="false" customHeight="true" outlineLevel="0" collapsed="false">
      <c r="A8" s="44" t="s">
        <v>216</v>
      </c>
      <c r="B8" s="44" t="s">
        <v>285</v>
      </c>
      <c r="C8" s="45" t="s">
        <v>293</v>
      </c>
      <c r="D8" s="46" t="s">
        <v>294</v>
      </c>
      <c r="E8" s="44" t="s">
        <v>295</v>
      </c>
      <c r="F8" s="44" t="s">
        <v>296</v>
      </c>
      <c r="G8" s="45" t="s">
        <v>297</v>
      </c>
      <c r="H8" s="44" t="s">
        <v>298</v>
      </c>
      <c r="I8" s="45" t="s">
        <v>299</v>
      </c>
      <c r="J8" s="45" t="s">
        <v>300</v>
      </c>
      <c r="K8" s="45" t="s">
        <v>301</v>
      </c>
      <c r="L8" s="44" t="s">
        <v>189</v>
      </c>
    </row>
    <row r="9" customFormat="false" ht="18.75" hidden="false" customHeight="true" outlineLevel="0" collapsed="false">
      <c r="A9" s="44" t="s">
        <v>220</v>
      </c>
      <c r="B9" s="44" t="s">
        <v>285</v>
      </c>
      <c r="C9" s="45" t="s">
        <v>302</v>
      </c>
      <c r="D9" s="46" t="s">
        <v>303</v>
      </c>
      <c r="E9" s="44" t="s">
        <v>295</v>
      </c>
      <c r="F9" s="44" t="s">
        <v>296</v>
      </c>
      <c r="G9" s="45" t="s">
        <v>304</v>
      </c>
      <c r="H9" s="44" t="s">
        <v>305</v>
      </c>
      <c r="I9" s="45" t="s">
        <v>306</v>
      </c>
      <c r="J9" s="45" t="s">
        <v>307</v>
      </c>
      <c r="K9" s="45" t="s">
        <v>308</v>
      </c>
      <c r="L9" s="47" t="s">
        <v>254</v>
      </c>
    </row>
    <row r="10" customFormat="false" ht="18.75" hidden="false" customHeight="true" outlineLevel="0" collapsed="false">
      <c r="A10" s="44" t="s">
        <v>224</v>
      </c>
      <c r="B10" s="44" t="s">
        <v>285</v>
      </c>
      <c r="C10" s="45" t="s">
        <v>309</v>
      </c>
      <c r="D10" s="46" t="s">
        <v>310</v>
      </c>
      <c r="E10" s="44" t="s">
        <v>295</v>
      </c>
      <c r="F10" s="44" t="s">
        <v>296</v>
      </c>
      <c r="G10" s="45" t="s">
        <v>311</v>
      </c>
      <c r="H10" s="44" t="s">
        <v>312</v>
      </c>
      <c r="I10" s="45" t="s">
        <v>313</v>
      </c>
      <c r="J10" s="45" t="s">
        <v>314</v>
      </c>
      <c r="K10" s="45" t="s">
        <v>315</v>
      </c>
      <c r="L10" s="47" t="s">
        <v>254</v>
      </c>
    </row>
    <row r="11" customFormat="false" ht="18.75" hidden="false" customHeight="true" outlineLevel="0" collapsed="false">
      <c r="A11" s="44" t="s">
        <v>231</v>
      </c>
      <c r="B11" s="44" t="s">
        <v>285</v>
      </c>
      <c r="C11" s="45" t="s">
        <v>316</v>
      </c>
      <c r="D11" s="46" t="s">
        <v>317</v>
      </c>
      <c r="E11" s="44" t="s">
        <v>288</v>
      </c>
      <c r="F11" s="44" t="s">
        <v>211</v>
      </c>
      <c r="G11" s="45" t="s">
        <v>311</v>
      </c>
      <c r="H11" s="44" t="s">
        <v>318</v>
      </c>
      <c r="I11" s="45" t="s">
        <v>319</v>
      </c>
      <c r="J11" s="45" t="s">
        <v>320</v>
      </c>
      <c r="K11" s="45" t="s">
        <v>321</v>
      </c>
      <c r="L11" s="47" t="s">
        <v>254</v>
      </c>
    </row>
    <row r="12" customFormat="false" ht="18.75" hidden="false" customHeight="true" outlineLevel="0" collapsed="false">
      <c r="A12" s="44" t="s">
        <v>236</v>
      </c>
      <c r="B12" s="44" t="s">
        <v>285</v>
      </c>
      <c r="C12" s="45" t="s">
        <v>322</v>
      </c>
      <c r="D12" s="46" t="s">
        <v>323</v>
      </c>
      <c r="E12" s="44" t="s">
        <v>295</v>
      </c>
      <c r="F12" s="44" t="s">
        <v>296</v>
      </c>
      <c r="G12" s="45" t="s">
        <v>324</v>
      </c>
      <c r="H12" s="44" t="s">
        <v>312</v>
      </c>
      <c r="I12" s="45" t="s">
        <v>325</v>
      </c>
      <c r="J12" s="45" t="s">
        <v>314</v>
      </c>
      <c r="K12" s="45" t="s">
        <v>326</v>
      </c>
      <c r="L12" s="47" t="s">
        <v>254</v>
      </c>
    </row>
    <row r="13" customFormat="false" ht="18.75" hidden="false" customHeight="true" outlineLevel="0" collapsed="false">
      <c r="A13" s="44" t="s">
        <v>240</v>
      </c>
      <c r="B13" s="44" t="s">
        <v>285</v>
      </c>
      <c r="C13" s="45" t="s">
        <v>327</v>
      </c>
      <c r="D13" s="46" t="s">
        <v>328</v>
      </c>
      <c r="E13" s="44" t="s">
        <v>329</v>
      </c>
      <c r="F13" s="44" t="s">
        <v>220</v>
      </c>
      <c r="G13" s="45" t="s">
        <v>324</v>
      </c>
      <c r="H13" s="44" t="s">
        <v>318</v>
      </c>
      <c r="I13" s="45" t="s">
        <v>330</v>
      </c>
      <c r="J13" s="45" t="s">
        <v>331</v>
      </c>
      <c r="K13" s="45" t="s">
        <v>332</v>
      </c>
      <c r="L13" s="47" t="s">
        <v>254</v>
      </c>
    </row>
    <row r="14" customFormat="false" ht="18.75" hidden="false" customHeight="true" outlineLevel="0" collapsed="false">
      <c r="A14" s="44" t="s">
        <v>244</v>
      </c>
      <c r="B14" s="44" t="s">
        <v>285</v>
      </c>
      <c r="C14" s="45" t="s">
        <v>333</v>
      </c>
      <c r="D14" s="46" t="s">
        <v>334</v>
      </c>
      <c r="E14" s="44" t="s">
        <v>335</v>
      </c>
      <c r="F14" s="44" t="s">
        <v>220</v>
      </c>
      <c r="G14" s="45" t="s">
        <v>304</v>
      </c>
      <c r="H14" s="44" t="s">
        <v>220</v>
      </c>
      <c r="I14" s="45" t="s">
        <v>336</v>
      </c>
      <c r="J14" s="45" t="s">
        <v>337</v>
      </c>
      <c r="K14" s="45" t="s">
        <v>338</v>
      </c>
      <c r="L14" s="47" t="s">
        <v>254</v>
      </c>
    </row>
    <row r="15" customFormat="false" ht="18.75" hidden="false" customHeight="true" outlineLevel="0" collapsed="false">
      <c r="A15" s="44" t="s">
        <v>339</v>
      </c>
      <c r="B15" s="44" t="s">
        <v>285</v>
      </c>
      <c r="C15" s="45" t="s">
        <v>340</v>
      </c>
      <c r="D15" s="46" t="s">
        <v>341</v>
      </c>
      <c r="E15" s="44" t="s">
        <v>342</v>
      </c>
      <c r="F15" s="44" t="s">
        <v>343</v>
      </c>
      <c r="G15" s="45" t="s">
        <v>344</v>
      </c>
      <c r="H15" s="44" t="s">
        <v>345</v>
      </c>
      <c r="I15" s="45" t="s">
        <v>346</v>
      </c>
      <c r="J15" s="45" t="s">
        <v>347</v>
      </c>
      <c r="K15" s="45" t="s">
        <v>348</v>
      </c>
      <c r="L15" s="47" t="s">
        <v>254</v>
      </c>
    </row>
    <row r="16" customFormat="false" ht="18.75" hidden="false" customHeight="true" outlineLevel="0" collapsed="false">
      <c r="A16" s="44" t="s">
        <v>349</v>
      </c>
      <c r="B16" s="44" t="s">
        <v>285</v>
      </c>
      <c r="C16" s="45" t="s">
        <v>350</v>
      </c>
      <c r="D16" s="46" t="s">
        <v>351</v>
      </c>
      <c r="E16" s="44" t="s">
        <v>342</v>
      </c>
      <c r="F16" s="44" t="s">
        <v>352</v>
      </c>
      <c r="G16" s="45" t="s">
        <v>344</v>
      </c>
      <c r="H16" s="44" t="s">
        <v>353</v>
      </c>
      <c r="I16" s="45" t="s">
        <v>354</v>
      </c>
      <c r="J16" s="45" t="s">
        <v>355</v>
      </c>
      <c r="K16" s="45" t="s">
        <v>356</v>
      </c>
      <c r="L16" s="47" t="s">
        <v>254</v>
      </c>
    </row>
    <row r="17" customFormat="false" ht="18.75" hidden="false" customHeight="true" outlineLevel="0" collapsed="false">
      <c r="A17" s="44" t="s">
        <v>357</v>
      </c>
      <c r="B17" s="44" t="s">
        <v>285</v>
      </c>
      <c r="C17" s="45" t="s">
        <v>358</v>
      </c>
      <c r="D17" s="46" t="s">
        <v>359</v>
      </c>
      <c r="E17" s="44" t="s">
        <v>288</v>
      </c>
      <c r="F17" s="44" t="s">
        <v>360</v>
      </c>
      <c r="G17" s="45" t="s">
        <v>361</v>
      </c>
      <c r="H17" s="44" t="s">
        <v>345</v>
      </c>
      <c r="I17" s="45" t="s">
        <v>362</v>
      </c>
      <c r="J17" s="45" t="s">
        <v>363</v>
      </c>
      <c r="K17" s="45" t="s">
        <v>364</v>
      </c>
      <c r="L17" s="47" t="s">
        <v>254</v>
      </c>
    </row>
    <row r="18" customFormat="false" ht="18.75" hidden="false" customHeight="true" outlineLevel="0" collapsed="false">
      <c r="A18" s="44" t="s">
        <v>365</v>
      </c>
      <c r="B18" s="44" t="s">
        <v>285</v>
      </c>
      <c r="C18" s="45" t="s">
        <v>366</v>
      </c>
      <c r="D18" s="46" t="s">
        <v>367</v>
      </c>
      <c r="E18" s="44" t="s">
        <v>342</v>
      </c>
      <c r="F18" s="44" t="s">
        <v>368</v>
      </c>
      <c r="G18" s="45" t="s">
        <v>369</v>
      </c>
      <c r="H18" s="44" t="s">
        <v>298</v>
      </c>
      <c r="I18" s="45" t="s">
        <v>370</v>
      </c>
      <c r="J18" s="45" t="s">
        <v>371</v>
      </c>
      <c r="K18" s="45" t="s">
        <v>372</v>
      </c>
      <c r="L18" s="47" t="s">
        <v>254</v>
      </c>
    </row>
    <row r="19" customFormat="false" ht="18.75" hidden="false" customHeight="true" outlineLevel="0" collapsed="false">
      <c r="A19" s="44" t="s">
        <v>373</v>
      </c>
      <c r="B19" s="44" t="s">
        <v>285</v>
      </c>
      <c r="C19" s="45" t="s">
        <v>374</v>
      </c>
      <c r="D19" s="46" t="s">
        <v>375</v>
      </c>
      <c r="E19" s="44" t="s">
        <v>329</v>
      </c>
      <c r="F19" s="44" t="s">
        <v>376</v>
      </c>
      <c r="G19" s="45" t="s">
        <v>377</v>
      </c>
      <c r="H19" s="44" t="s">
        <v>318</v>
      </c>
      <c r="I19" s="45" t="s">
        <v>378</v>
      </c>
      <c r="J19" s="45" t="s">
        <v>355</v>
      </c>
      <c r="K19" s="45" t="s">
        <v>379</v>
      </c>
      <c r="L19" s="44" t="s">
        <v>189</v>
      </c>
    </row>
    <row r="20" customFormat="false" ht="18.75" hidden="false" customHeight="true" outlineLevel="0" collapsed="false">
      <c r="A20" s="44" t="s">
        <v>380</v>
      </c>
      <c r="B20" s="44" t="s">
        <v>285</v>
      </c>
      <c r="C20" s="45" t="s">
        <v>381</v>
      </c>
      <c r="D20" s="46" t="s">
        <v>382</v>
      </c>
      <c r="E20" s="44" t="s">
        <v>288</v>
      </c>
      <c r="F20" s="44" t="s">
        <v>211</v>
      </c>
      <c r="G20" s="45" t="s">
        <v>383</v>
      </c>
      <c r="H20" s="44" t="s">
        <v>384</v>
      </c>
      <c r="I20" s="45" t="s">
        <v>385</v>
      </c>
      <c r="J20" s="45" t="s">
        <v>386</v>
      </c>
      <c r="K20" s="45" t="s">
        <v>387</v>
      </c>
      <c r="L20" s="47" t="s">
        <v>254</v>
      </c>
    </row>
    <row r="21" customFormat="false" ht="15.75" hidden="false" customHeight="true" outlineLevel="0" collapsed="false">
      <c r="A21" s="43" t="s">
        <v>388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customFormat="false" ht="18.75" hidden="false" customHeight="true" outlineLevel="0" collapsed="false">
      <c r="A22" s="48" t="s">
        <v>389</v>
      </c>
      <c r="B22" s="48" t="s">
        <v>390</v>
      </c>
      <c r="C22" s="49" t="s">
        <v>391</v>
      </c>
      <c r="D22" s="50" t="s">
        <v>392</v>
      </c>
      <c r="E22" s="48" t="s">
        <v>342</v>
      </c>
      <c r="F22" s="48" t="s">
        <v>352</v>
      </c>
      <c r="G22" s="49" t="s">
        <v>344</v>
      </c>
      <c r="H22" s="48" t="s">
        <v>305</v>
      </c>
      <c r="I22" s="49" t="s">
        <v>393</v>
      </c>
      <c r="J22" s="49" t="s">
        <v>355</v>
      </c>
      <c r="K22" s="49" t="s">
        <v>394</v>
      </c>
      <c r="L22" s="51" t="s">
        <v>254</v>
      </c>
    </row>
    <row r="23" customFormat="false" ht="18.75" hidden="false" customHeight="true" outlineLevel="0" collapsed="false">
      <c r="A23" s="48" t="s">
        <v>395</v>
      </c>
      <c r="B23" s="48" t="s">
        <v>390</v>
      </c>
      <c r="C23" s="49" t="s">
        <v>396</v>
      </c>
      <c r="D23" s="50" t="s">
        <v>392</v>
      </c>
      <c r="E23" s="48" t="s">
        <v>342</v>
      </c>
      <c r="F23" s="48" t="s">
        <v>352</v>
      </c>
      <c r="G23" s="49" t="s">
        <v>344</v>
      </c>
      <c r="H23" s="48" t="s">
        <v>353</v>
      </c>
      <c r="I23" s="49" t="s">
        <v>397</v>
      </c>
      <c r="J23" s="49" t="s">
        <v>398</v>
      </c>
      <c r="K23" s="49" t="s">
        <v>348</v>
      </c>
      <c r="L23" s="51" t="s">
        <v>254</v>
      </c>
    </row>
    <row r="24" customFormat="false" ht="18.75" hidden="false" customHeight="true" outlineLevel="0" collapsed="false">
      <c r="A24" s="48" t="s">
        <v>399</v>
      </c>
      <c r="B24" s="48" t="s">
        <v>390</v>
      </c>
      <c r="C24" s="49" t="s">
        <v>400</v>
      </c>
      <c r="D24" s="50" t="s">
        <v>392</v>
      </c>
      <c r="E24" s="48" t="s">
        <v>401</v>
      </c>
      <c r="F24" s="48" t="s">
        <v>352</v>
      </c>
      <c r="G24" s="49" t="s">
        <v>402</v>
      </c>
      <c r="H24" s="48" t="s">
        <v>403</v>
      </c>
      <c r="I24" s="49" t="s">
        <v>404</v>
      </c>
      <c r="J24" s="49" t="s">
        <v>405</v>
      </c>
      <c r="K24" s="49" t="s">
        <v>379</v>
      </c>
      <c r="L24" s="48" t="s">
        <v>189</v>
      </c>
    </row>
    <row r="25" customFormat="false" ht="18.75" hidden="false" customHeight="true" outlineLevel="0" collapsed="false">
      <c r="A25" s="48" t="s">
        <v>406</v>
      </c>
      <c r="B25" s="48" t="s">
        <v>390</v>
      </c>
      <c r="C25" s="49" t="s">
        <v>407</v>
      </c>
      <c r="D25" s="50" t="s">
        <v>408</v>
      </c>
      <c r="E25" s="48" t="s">
        <v>288</v>
      </c>
      <c r="F25" s="48" t="s">
        <v>211</v>
      </c>
      <c r="G25" s="49" t="s">
        <v>409</v>
      </c>
      <c r="H25" s="48" t="s">
        <v>410</v>
      </c>
      <c r="I25" s="49" t="s">
        <v>411</v>
      </c>
      <c r="J25" s="49" t="s">
        <v>412</v>
      </c>
      <c r="K25" s="49" t="s">
        <v>413</v>
      </c>
      <c r="L25" s="51" t="s">
        <v>254</v>
      </c>
    </row>
    <row r="26" customFormat="false" ht="18.75" hidden="false" customHeight="true" outlineLevel="0" collapsed="false">
      <c r="A26" s="48" t="s">
        <v>414</v>
      </c>
      <c r="B26" s="48" t="s">
        <v>390</v>
      </c>
      <c r="C26" s="49" t="s">
        <v>415</v>
      </c>
      <c r="D26" s="50" t="s">
        <v>416</v>
      </c>
      <c r="E26" s="48" t="s">
        <v>329</v>
      </c>
      <c r="F26" s="48" t="s">
        <v>417</v>
      </c>
      <c r="G26" s="49" t="s">
        <v>377</v>
      </c>
      <c r="H26" s="48" t="s">
        <v>305</v>
      </c>
      <c r="I26" s="49" t="s">
        <v>418</v>
      </c>
      <c r="J26" s="49" t="s">
        <v>419</v>
      </c>
      <c r="K26" s="49" t="s">
        <v>420</v>
      </c>
      <c r="L26" s="48" t="s">
        <v>189</v>
      </c>
    </row>
    <row r="27" customFormat="false" ht="18.75" hidden="false" customHeight="true" outlineLevel="0" collapsed="false">
      <c r="A27" s="48" t="s">
        <v>421</v>
      </c>
      <c r="B27" s="48" t="s">
        <v>390</v>
      </c>
      <c r="C27" s="49" t="s">
        <v>422</v>
      </c>
      <c r="D27" s="50" t="s">
        <v>392</v>
      </c>
      <c r="E27" s="48" t="s">
        <v>288</v>
      </c>
      <c r="F27" s="48" t="s">
        <v>211</v>
      </c>
      <c r="G27" s="49" t="s">
        <v>377</v>
      </c>
      <c r="H27" s="48" t="s">
        <v>305</v>
      </c>
      <c r="I27" s="49" t="s">
        <v>423</v>
      </c>
      <c r="J27" s="49" t="s">
        <v>419</v>
      </c>
      <c r="K27" s="49" t="s">
        <v>420</v>
      </c>
      <c r="L27" s="48" t="s">
        <v>189</v>
      </c>
    </row>
    <row r="28" customFormat="false" ht="18.75" hidden="false" customHeight="true" outlineLevel="0" collapsed="false">
      <c r="A28" s="48" t="s">
        <v>424</v>
      </c>
      <c r="B28" s="48" t="s">
        <v>390</v>
      </c>
      <c r="C28" s="49" t="s">
        <v>425</v>
      </c>
      <c r="D28" s="50" t="s">
        <v>426</v>
      </c>
      <c r="E28" s="48" t="s">
        <v>329</v>
      </c>
      <c r="F28" s="48" t="s">
        <v>352</v>
      </c>
      <c r="G28" s="49" t="s">
        <v>427</v>
      </c>
      <c r="H28" s="48" t="s">
        <v>318</v>
      </c>
      <c r="I28" s="49" t="s">
        <v>428</v>
      </c>
      <c r="J28" s="49" t="s">
        <v>429</v>
      </c>
      <c r="K28" s="49" t="s">
        <v>430</v>
      </c>
      <c r="L28" s="51" t="s">
        <v>258</v>
      </c>
    </row>
    <row r="29" customFormat="false" ht="27.75" hidden="false" customHeight="true" outlineLevel="0" collapsed="false">
      <c r="A29" s="52" t="s">
        <v>431</v>
      </c>
      <c r="B29" s="52" t="s">
        <v>432</v>
      </c>
      <c r="C29" s="53" t="s">
        <v>433</v>
      </c>
      <c r="D29" s="54" t="s">
        <v>434</v>
      </c>
      <c r="E29" s="52" t="s">
        <v>435</v>
      </c>
      <c r="F29" s="52" t="s">
        <v>436</v>
      </c>
      <c r="G29" s="53" t="s">
        <v>437</v>
      </c>
      <c r="H29" s="52" t="s">
        <v>438</v>
      </c>
      <c r="I29" s="53" t="s">
        <v>439</v>
      </c>
      <c r="J29" s="53" t="s">
        <v>440</v>
      </c>
      <c r="K29" s="53" t="s">
        <v>441</v>
      </c>
      <c r="L29" s="55" t="s">
        <v>254</v>
      </c>
    </row>
    <row r="30" customFormat="false" ht="15.75" hidden="false" customHeight="true" outlineLevel="0" collapsed="false">
      <c r="A30" s="43" t="s">
        <v>442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</row>
    <row r="31" customFormat="false" ht="18.75" hidden="false" customHeight="true" outlineLevel="0" collapsed="false">
      <c r="A31" s="56" t="s">
        <v>443</v>
      </c>
      <c r="B31" s="56" t="s">
        <v>444</v>
      </c>
      <c r="C31" s="57" t="s">
        <v>445</v>
      </c>
      <c r="D31" s="58" t="s">
        <v>446</v>
      </c>
      <c r="E31" s="56" t="s">
        <v>288</v>
      </c>
      <c r="F31" s="56" t="s">
        <v>211</v>
      </c>
      <c r="G31" s="57" t="s">
        <v>447</v>
      </c>
      <c r="H31" s="56" t="s">
        <v>211</v>
      </c>
      <c r="I31" s="57" t="s">
        <v>448</v>
      </c>
      <c r="J31" s="57" t="s">
        <v>449</v>
      </c>
      <c r="K31" s="57" t="s">
        <v>450</v>
      </c>
      <c r="L31" s="59" t="s">
        <v>254</v>
      </c>
    </row>
    <row r="32" customFormat="false" ht="18.75" hidden="false" customHeight="true" outlineLevel="0" collapsed="false">
      <c r="A32" s="56" t="s">
        <v>451</v>
      </c>
      <c r="B32" s="56" t="s">
        <v>444</v>
      </c>
      <c r="C32" s="57" t="s">
        <v>452</v>
      </c>
      <c r="D32" s="58" t="s">
        <v>453</v>
      </c>
      <c r="E32" s="56" t="s">
        <v>454</v>
      </c>
      <c r="F32" s="56" t="s">
        <v>352</v>
      </c>
      <c r="G32" s="57" t="s">
        <v>455</v>
      </c>
      <c r="H32" s="56" t="s">
        <v>403</v>
      </c>
      <c r="I32" s="57" t="s">
        <v>456</v>
      </c>
      <c r="J32" s="57" t="s">
        <v>457</v>
      </c>
      <c r="K32" s="57" t="s">
        <v>458</v>
      </c>
      <c r="L32" s="59" t="s">
        <v>254</v>
      </c>
    </row>
    <row r="33" customFormat="false" ht="18.75" hidden="false" customHeight="true" outlineLevel="0" collapsed="false">
      <c r="A33" s="56" t="s">
        <v>459</v>
      </c>
      <c r="B33" s="56" t="s">
        <v>444</v>
      </c>
      <c r="C33" s="57" t="s">
        <v>460</v>
      </c>
      <c r="D33" s="58" t="s">
        <v>461</v>
      </c>
      <c r="E33" s="56" t="s">
        <v>288</v>
      </c>
      <c r="F33" s="56" t="s">
        <v>211</v>
      </c>
      <c r="G33" s="57" t="s">
        <v>462</v>
      </c>
      <c r="H33" s="56" t="s">
        <v>318</v>
      </c>
      <c r="I33" s="57" t="s">
        <v>463</v>
      </c>
      <c r="J33" s="57" t="s">
        <v>464</v>
      </c>
      <c r="K33" s="57" t="s">
        <v>465</v>
      </c>
      <c r="L33" s="59" t="s">
        <v>258</v>
      </c>
    </row>
    <row r="34" customFormat="false" ht="18.75" hidden="false" customHeight="true" outlineLevel="0" collapsed="false">
      <c r="A34" s="56" t="s">
        <v>466</v>
      </c>
      <c r="B34" s="56" t="s">
        <v>444</v>
      </c>
      <c r="C34" s="57" t="s">
        <v>467</v>
      </c>
      <c r="D34" s="58" t="s">
        <v>468</v>
      </c>
      <c r="E34" s="56" t="s">
        <v>469</v>
      </c>
      <c r="F34" s="56" t="s">
        <v>352</v>
      </c>
      <c r="G34" s="57" t="s">
        <v>470</v>
      </c>
      <c r="H34" s="56" t="s">
        <v>211</v>
      </c>
      <c r="I34" s="57" t="s">
        <v>471</v>
      </c>
      <c r="J34" s="57" t="s">
        <v>472</v>
      </c>
      <c r="K34" s="57" t="s">
        <v>473</v>
      </c>
      <c r="L34" s="59" t="s">
        <v>258</v>
      </c>
    </row>
    <row r="35" customFormat="false" ht="18.75" hidden="false" customHeight="true" outlineLevel="0" collapsed="false">
      <c r="A35" s="56" t="s">
        <v>474</v>
      </c>
      <c r="B35" s="56" t="s">
        <v>444</v>
      </c>
      <c r="C35" s="57" t="s">
        <v>475</v>
      </c>
      <c r="D35" s="58" t="s">
        <v>476</v>
      </c>
      <c r="E35" s="56" t="s">
        <v>288</v>
      </c>
      <c r="F35" s="56" t="s">
        <v>211</v>
      </c>
      <c r="G35" s="57" t="s">
        <v>477</v>
      </c>
      <c r="H35" s="56" t="s">
        <v>211</v>
      </c>
      <c r="I35" s="57" t="s">
        <v>478</v>
      </c>
      <c r="J35" s="57" t="s">
        <v>479</v>
      </c>
      <c r="K35" s="57" t="s">
        <v>480</v>
      </c>
      <c r="L35" s="59" t="s">
        <v>258</v>
      </c>
    </row>
    <row r="36" customFormat="false" ht="15.75" hidden="false" customHeight="true" outlineLevel="0" collapsed="false">
      <c r="A36" s="43" t="s">
        <v>481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</row>
    <row r="37" customFormat="false" ht="18.75" hidden="false" customHeight="true" outlineLevel="0" collapsed="false">
      <c r="A37" s="52" t="s">
        <v>482</v>
      </c>
      <c r="B37" s="52" t="s">
        <v>432</v>
      </c>
      <c r="C37" s="53" t="s">
        <v>483</v>
      </c>
      <c r="D37" s="54" t="s">
        <v>484</v>
      </c>
      <c r="E37" s="52" t="s">
        <v>485</v>
      </c>
      <c r="F37" s="52" t="s">
        <v>211</v>
      </c>
      <c r="G37" s="53" t="s">
        <v>486</v>
      </c>
      <c r="H37" s="52" t="s">
        <v>211</v>
      </c>
      <c r="I37" s="53" t="s">
        <v>487</v>
      </c>
      <c r="J37" s="53" t="s">
        <v>114</v>
      </c>
      <c r="K37" s="53" t="s">
        <v>488</v>
      </c>
      <c r="L37" s="55" t="s">
        <v>254</v>
      </c>
    </row>
    <row r="38" customFormat="false" ht="18.75" hidden="false" customHeight="true" outlineLevel="0" collapsed="false">
      <c r="A38" s="52" t="s">
        <v>489</v>
      </c>
      <c r="B38" s="52" t="s">
        <v>432</v>
      </c>
      <c r="C38" s="53" t="s">
        <v>490</v>
      </c>
      <c r="D38" s="54" t="s">
        <v>484</v>
      </c>
      <c r="E38" s="52" t="s">
        <v>485</v>
      </c>
      <c r="F38" s="52" t="s">
        <v>231</v>
      </c>
      <c r="G38" s="53" t="s">
        <v>491</v>
      </c>
      <c r="H38" s="52" t="s">
        <v>231</v>
      </c>
      <c r="I38" s="53" t="s">
        <v>492</v>
      </c>
      <c r="J38" s="53" t="s">
        <v>114</v>
      </c>
      <c r="K38" s="53" t="s">
        <v>493</v>
      </c>
      <c r="L38" s="55" t="s">
        <v>254</v>
      </c>
    </row>
    <row r="39" customFormat="false" ht="18.75" hidden="false" customHeight="true" outlineLevel="0" collapsed="false">
      <c r="A39" s="52" t="s">
        <v>494</v>
      </c>
      <c r="B39" s="52" t="s">
        <v>432</v>
      </c>
      <c r="C39" s="53" t="s">
        <v>495</v>
      </c>
      <c r="D39" s="54" t="s">
        <v>484</v>
      </c>
      <c r="E39" s="52" t="s">
        <v>496</v>
      </c>
      <c r="F39" s="52" t="s">
        <v>211</v>
      </c>
      <c r="G39" s="53" t="s">
        <v>497</v>
      </c>
      <c r="H39" s="52" t="s">
        <v>211</v>
      </c>
      <c r="I39" s="53" t="s">
        <v>498</v>
      </c>
      <c r="J39" s="53" t="s">
        <v>499</v>
      </c>
      <c r="K39" s="53" t="s">
        <v>500</v>
      </c>
      <c r="L39" s="55" t="s">
        <v>254</v>
      </c>
    </row>
    <row r="40" customFormat="false" ht="18.75" hidden="false" customHeight="true" outlineLevel="0" collapsed="false">
      <c r="A40" s="52" t="s">
        <v>501</v>
      </c>
      <c r="B40" s="52" t="s">
        <v>432</v>
      </c>
      <c r="C40" s="53" t="s">
        <v>502</v>
      </c>
      <c r="D40" s="54" t="s">
        <v>484</v>
      </c>
      <c r="E40" s="52" t="s">
        <v>288</v>
      </c>
      <c r="F40" s="52" t="s">
        <v>503</v>
      </c>
      <c r="G40" s="53" t="s">
        <v>504</v>
      </c>
      <c r="H40" s="52" t="s">
        <v>505</v>
      </c>
      <c r="I40" s="53" t="s">
        <v>506</v>
      </c>
      <c r="J40" s="53" t="s">
        <v>507</v>
      </c>
      <c r="K40" s="53" t="s">
        <v>508</v>
      </c>
      <c r="L40" s="55" t="s">
        <v>254</v>
      </c>
    </row>
    <row r="41" customFormat="false" ht="18.75" hidden="false" customHeight="true" outlineLevel="0" collapsed="false">
      <c r="A41" s="52" t="s">
        <v>509</v>
      </c>
      <c r="B41" s="52" t="s">
        <v>432</v>
      </c>
      <c r="C41" s="53" t="s">
        <v>510</v>
      </c>
      <c r="D41" s="54" t="s">
        <v>484</v>
      </c>
      <c r="E41" s="52" t="s">
        <v>496</v>
      </c>
      <c r="F41" s="52" t="s">
        <v>211</v>
      </c>
      <c r="G41" s="53" t="s">
        <v>511</v>
      </c>
      <c r="H41" s="52" t="s">
        <v>211</v>
      </c>
      <c r="I41" s="53" t="s">
        <v>512</v>
      </c>
      <c r="J41" s="53" t="s">
        <v>513</v>
      </c>
      <c r="K41" s="53" t="s">
        <v>514</v>
      </c>
      <c r="L41" s="55" t="s">
        <v>254</v>
      </c>
    </row>
    <row r="42" customFormat="false" ht="15.75" hidden="false" customHeight="true" outlineLevel="0" collapsed="false">
      <c r="A42" s="60" t="s">
        <v>515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</row>
    <row r="43" customFormat="false" ht="36.75" hidden="false" customHeight="true" outlineLevel="0" collapsed="false">
      <c r="A43" s="61" t="s">
        <v>516</v>
      </c>
      <c r="B43" s="61" t="s">
        <v>517</v>
      </c>
      <c r="C43" s="62" t="s">
        <v>518</v>
      </c>
      <c r="D43" s="63" t="s">
        <v>519</v>
      </c>
      <c r="E43" s="61" t="s">
        <v>342</v>
      </c>
      <c r="F43" s="61" t="s">
        <v>520</v>
      </c>
      <c r="G43" s="62" t="s">
        <v>521</v>
      </c>
      <c r="H43" s="61" t="s">
        <v>522</v>
      </c>
      <c r="I43" s="62" t="s">
        <v>523</v>
      </c>
      <c r="J43" s="62" t="s">
        <v>524</v>
      </c>
      <c r="K43" s="62" t="s">
        <v>525</v>
      </c>
      <c r="L43" s="64" t="s">
        <v>254</v>
      </c>
    </row>
    <row r="45" customFormat="false" ht="42" hidden="false" customHeight="true" outlineLevel="0" collapsed="false">
      <c r="A45" s="65" t="s">
        <v>526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</row>
  </sheetData>
  <autoFilter ref="A5:L5"/>
  <mergeCells count="9">
    <mergeCell ref="A1:L1"/>
    <mergeCell ref="A2:L2"/>
    <mergeCell ref="A4:L4"/>
    <mergeCell ref="A6:L6"/>
    <mergeCell ref="A21:L21"/>
    <mergeCell ref="A30:L30"/>
    <mergeCell ref="A36:L36"/>
    <mergeCell ref="A42:L42"/>
    <mergeCell ref="A45:L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5"/>
    <col collapsed="false" customWidth="true" hidden="false" outlineLevel="0" max="2" min="2" style="1" width="40"/>
    <col collapsed="false" customWidth="true" hidden="false" outlineLevel="0" max="3" min="3" style="1" width="30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34"/>
  </cols>
  <sheetData>
    <row r="1" customFormat="false" ht="25.5" hidden="false" customHeight="true" outlineLevel="0" collapsed="false">
      <c r="A1" s="2" t="s">
        <v>527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528</v>
      </c>
      <c r="B2" s="3"/>
      <c r="C2" s="3"/>
      <c r="D2" s="3"/>
      <c r="E2" s="3"/>
      <c r="F2" s="3"/>
      <c r="G2" s="3"/>
      <c r="H2" s="3"/>
      <c r="I2" s="3"/>
    </row>
    <row r="4" customFormat="false" ht="18" hidden="false" customHeight="true" outlineLevel="0" collapsed="false">
      <c r="A4" s="4" t="s">
        <v>529</v>
      </c>
      <c r="B4" s="4"/>
      <c r="C4" s="4"/>
      <c r="D4" s="4"/>
      <c r="E4" s="4"/>
      <c r="F4" s="4"/>
      <c r="G4" s="4"/>
      <c r="H4" s="4"/>
      <c r="I4" s="4"/>
    </row>
    <row r="5" customFormat="false" ht="21.75" hidden="false" customHeight="true" outlineLevel="0" collapsed="false">
      <c r="B5" s="27" t="s">
        <v>530</v>
      </c>
      <c r="C5" s="29" t="s">
        <v>531</v>
      </c>
      <c r="D5" s="66" t="n">
        <v>5</v>
      </c>
      <c r="E5" s="67" t="s">
        <v>532</v>
      </c>
      <c r="F5" s="67"/>
      <c r="G5" s="67"/>
      <c r="H5" s="67"/>
      <c r="I5" s="67"/>
    </row>
    <row r="7" customFormat="false" ht="18" hidden="false" customHeight="true" outlineLevel="0" collapsed="false">
      <c r="A7" s="68" t="s">
        <v>533</v>
      </c>
      <c r="B7" s="68"/>
      <c r="C7" s="68"/>
      <c r="D7" s="68"/>
      <c r="E7" s="68"/>
      <c r="F7" s="68"/>
      <c r="G7" s="68"/>
      <c r="H7" s="68"/>
      <c r="I7" s="68"/>
    </row>
    <row r="8" customFormat="false" ht="24" hidden="false" customHeight="true" outlineLevel="0" collapsed="false">
      <c r="A8" s="22" t="s">
        <v>273</v>
      </c>
      <c r="B8" s="22" t="s">
        <v>534</v>
      </c>
      <c r="C8" s="22" t="s">
        <v>535</v>
      </c>
      <c r="D8" s="22" t="s">
        <v>277</v>
      </c>
      <c r="E8" s="22" t="s">
        <v>536</v>
      </c>
      <c r="F8" s="22" t="s">
        <v>537</v>
      </c>
      <c r="G8" s="22" t="s">
        <v>538</v>
      </c>
      <c r="H8" s="22" t="s">
        <v>539</v>
      </c>
      <c r="I8" s="22" t="s">
        <v>540</v>
      </c>
    </row>
    <row r="9" customFormat="false" ht="18.75" hidden="false" customHeight="true" outlineLevel="0" collapsed="false">
      <c r="A9" s="26" t="s">
        <v>541</v>
      </c>
      <c r="B9" s="23" t="s">
        <v>542</v>
      </c>
      <c r="C9" s="45" t="s">
        <v>543</v>
      </c>
      <c r="D9" s="26" t="s">
        <v>544</v>
      </c>
      <c r="E9" s="69" t="n">
        <f aca="false">$D$5</f>
        <v>5</v>
      </c>
      <c r="F9" s="70" t="n">
        <v>130000</v>
      </c>
      <c r="G9" s="71" t="n">
        <f aca="false">E9*F9</f>
        <v>650000</v>
      </c>
      <c r="H9" s="44" t="s">
        <v>545</v>
      </c>
      <c r="I9" s="45" t="s">
        <v>546</v>
      </c>
    </row>
    <row r="10" customFormat="false" ht="18.75" hidden="false" customHeight="true" outlineLevel="0" collapsed="false">
      <c r="A10" s="26" t="s">
        <v>547</v>
      </c>
      <c r="B10" s="23" t="s">
        <v>548</v>
      </c>
      <c r="C10" s="45" t="s">
        <v>549</v>
      </c>
      <c r="D10" s="26" t="s">
        <v>288</v>
      </c>
      <c r="E10" s="72" t="n">
        <v>1</v>
      </c>
      <c r="F10" s="70" t="n">
        <v>200000</v>
      </c>
      <c r="G10" s="71" t="n">
        <f aca="false">E10*F10</f>
        <v>200000</v>
      </c>
      <c r="H10" s="44" t="s">
        <v>550</v>
      </c>
      <c r="I10" s="45" t="s">
        <v>551</v>
      </c>
    </row>
    <row r="11" customFormat="false" ht="18" hidden="false" customHeight="true" outlineLevel="0" collapsed="false">
      <c r="A11" s="4" t="s">
        <v>552</v>
      </c>
      <c r="B11" s="4"/>
      <c r="C11" s="4"/>
      <c r="D11" s="4"/>
      <c r="E11" s="4"/>
      <c r="F11" s="4"/>
      <c r="G11" s="4"/>
      <c r="H11" s="4"/>
      <c r="I11" s="4"/>
    </row>
    <row r="12" customFormat="false" ht="24" hidden="false" customHeight="true" outlineLevel="0" collapsed="false">
      <c r="A12" s="22" t="s">
        <v>273</v>
      </c>
      <c r="B12" s="22" t="s">
        <v>534</v>
      </c>
      <c r="C12" s="22" t="s">
        <v>535</v>
      </c>
      <c r="D12" s="22" t="s">
        <v>277</v>
      </c>
      <c r="E12" s="22" t="s">
        <v>536</v>
      </c>
      <c r="F12" s="22" t="s">
        <v>537</v>
      </c>
      <c r="G12" s="22" t="s">
        <v>538</v>
      </c>
      <c r="H12" s="22" t="s">
        <v>539</v>
      </c>
      <c r="I12" s="22" t="s">
        <v>540</v>
      </c>
    </row>
    <row r="13" customFormat="false" ht="36.75" hidden="false" customHeight="true" outlineLevel="0" collapsed="false">
      <c r="A13" s="73" t="s">
        <v>553</v>
      </c>
      <c r="B13" s="74" t="s">
        <v>554</v>
      </c>
      <c r="C13" s="49" t="s">
        <v>555</v>
      </c>
      <c r="D13" s="73" t="s">
        <v>288</v>
      </c>
      <c r="E13" s="75" t="n">
        <v>1</v>
      </c>
      <c r="F13" s="76" t="n">
        <v>300000</v>
      </c>
      <c r="G13" s="77" t="n">
        <f aca="false">E13*F13</f>
        <v>300000</v>
      </c>
      <c r="H13" s="48" t="s">
        <v>556</v>
      </c>
      <c r="I13" s="49" t="s">
        <v>557</v>
      </c>
    </row>
    <row r="14" customFormat="false" ht="18.75" hidden="false" customHeight="true" outlineLevel="0" collapsed="false">
      <c r="A14" s="73" t="s">
        <v>558</v>
      </c>
      <c r="B14" s="74" t="s">
        <v>559</v>
      </c>
      <c r="C14" s="49" t="s">
        <v>560</v>
      </c>
      <c r="D14" s="73" t="s">
        <v>288</v>
      </c>
      <c r="E14" s="75" t="n">
        <v>1</v>
      </c>
      <c r="F14" s="76" t="n">
        <v>120000</v>
      </c>
      <c r="G14" s="77" t="n">
        <f aca="false">E14*F14</f>
        <v>120000</v>
      </c>
      <c r="H14" s="48" t="s">
        <v>556</v>
      </c>
      <c r="I14" s="49" t="s">
        <v>561</v>
      </c>
    </row>
    <row r="15" customFormat="false" ht="18.75" hidden="false" customHeight="true" outlineLevel="0" collapsed="false">
      <c r="A15" s="26" t="s">
        <v>562</v>
      </c>
      <c r="B15" s="23" t="s">
        <v>563</v>
      </c>
      <c r="C15" s="45" t="s">
        <v>564</v>
      </c>
      <c r="D15" s="26" t="s">
        <v>288</v>
      </c>
      <c r="E15" s="72" t="n">
        <v>1</v>
      </c>
      <c r="F15" s="70" t="n">
        <v>354583</v>
      </c>
      <c r="G15" s="71" t="n">
        <f aca="false">E15*F15</f>
        <v>354583</v>
      </c>
      <c r="H15" s="44" t="s">
        <v>565</v>
      </c>
      <c r="I15" s="45" t="s">
        <v>566</v>
      </c>
    </row>
    <row r="16" customFormat="false" ht="27.75" hidden="false" customHeight="true" outlineLevel="0" collapsed="false">
      <c r="A16" s="29" t="s">
        <v>567</v>
      </c>
      <c r="B16" s="27" t="s">
        <v>568</v>
      </c>
      <c r="C16" s="57" t="s">
        <v>569</v>
      </c>
      <c r="D16" s="29" t="s">
        <v>288</v>
      </c>
      <c r="E16" s="78" t="n">
        <v>1</v>
      </c>
      <c r="F16" s="79" t="n">
        <v>300000</v>
      </c>
      <c r="G16" s="80" t="n">
        <f aca="false">E16*F16</f>
        <v>300000</v>
      </c>
      <c r="H16" s="56" t="s">
        <v>570</v>
      </c>
      <c r="I16" s="57" t="s">
        <v>571</v>
      </c>
    </row>
    <row r="17" customFormat="false" ht="18" hidden="false" customHeight="true" outlineLevel="0" collapsed="false">
      <c r="A17" s="4" t="s">
        <v>572</v>
      </c>
      <c r="B17" s="4"/>
      <c r="C17" s="4"/>
      <c r="D17" s="4"/>
      <c r="E17" s="4"/>
      <c r="F17" s="4"/>
      <c r="G17" s="4"/>
      <c r="H17" s="4"/>
      <c r="I17" s="4"/>
    </row>
    <row r="18" customFormat="false" ht="24" hidden="false" customHeight="true" outlineLevel="0" collapsed="false">
      <c r="A18" s="22" t="s">
        <v>273</v>
      </c>
      <c r="B18" s="22" t="s">
        <v>534</v>
      </c>
      <c r="C18" s="22" t="s">
        <v>535</v>
      </c>
      <c r="D18" s="22" t="s">
        <v>277</v>
      </c>
      <c r="E18" s="22" t="s">
        <v>536</v>
      </c>
      <c r="F18" s="22" t="s">
        <v>537</v>
      </c>
      <c r="G18" s="22" t="s">
        <v>538</v>
      </c>
      <c r="H18" s="22" t="s">
        <v>539</v>
      </c>
      <c r="I18" s="22" t="s">
        <v>540</v>
      </c>
    </row>
    <row r="19" customFormat="false" ht="18.75" hidden="false" customHeight="true" outlineLevel="0" collapsed="false">
      <c r="A19" s="29" t="s">
        <v>573</v>
      </c>
      <c r="B19" s="27" t="s">
        <v>574</v>
      </c>
      <c r="C19" s="57" t="s">
        <v>575</v>
      </c>
      <c r="D19" s="29" t="s">
        <v>288</v>
      </c>
      <c r="E19" s="78" t="n">
        <v>1</v>
      </c>
      <c r="F19" s="79" t="n">
        <v>150000</v>
      </c>
      <c r="G19" s="80" t="n">
        <f aca="false">E19*F19</f>
        <v>150000</v>
      </c>
      <c r="H19" s="56" t="s">
        <v>570</v>
      </c>
      <c r="I19" s="57" t="s">
        <v>576</v>
      </c>
    </row>
    <row r="20" customFormat="false" ht="18.75" hidden="false" customHeight="true" outlineLevel="0" collapsed="false">
      <c r="A20" s="73" t="s">
        <v>577</v>
      </c>
      <c r="B20" s="74" t="s">
        <v>578</v>
      </c>
      <c r="C20" s="49" t="s">
        <v>579</v>
      </c>
      <c r="D20" s="73" t="s">
        <v>288</v>
      </c>
      <c r="E20" s="75" t="n">
        <v>1</v>
      </c>
      <c r="F20" s="76" t="n">
        <v>60000</v>
      </c>
      <c r="G20" s="77" t="n">
        <f aca="false">E20*F20</f>
        <v>60000</v>
      </c>
      <c r="H20" s="48" t="s">
        <v>550</v>
      </c>
      <c r="I20" s="49" t="s">
        <v>580</v>
      </c>
    </row>
    <row r="22" customFormat="false" ht="18" hidden="false" customHeight="true" outlineLevel="0" collapsed="false">
      <c r="A22" s="81" t="s">
        <v>581</v>
      </c>
      <c r="B22" s="81"/>
      <c r="C22" s="81"/>
      <c r="D22" s="81"/>
      <c r="E22" s="81"/>
      <c r="F22" s="81"/>
      <c r="G22" s="81"/>
      <c r="H22" s="81"/>
      <c r="I22" s="81"/>
    </row>
    <row r="23" customFormat="false" ht="15" hidden="false" customHeight="true" outlineLevel="0" collapsed="false">
      <c r="B23" s="82" t="s">
        <v>582</v>
      </c>
      <c r="C23" s="82"/>
      <c r="D23" s="82"/>
      <c r="E23" s="82"/>
      <c r="F23" s="82"/>
      <c r="G23" s="83" t="n">
        <f aca="false">SUM(G9:G10)+SUM(G13:G16)+SUM(G19:G20)</f>
        <v>2134583</v>
      </c>
      <c r="H23" s="84"/>
      <c r="I23" s="85"/>
    </row>
    <row r="24" customFormat="false" ht="15" hidden="false" customHeight="true" outlineLevel="0" collapsed="false">
      <c r="B24" s="86" t="s">
        <v>583</v>
      </c>
      <c r="C24" s="86"/>
      <c r="D24" s="86"/>
      <c r="E24" s="86"/>
      <c r="F24" s="86"/>
      <c r="G24" s="87" t="n">
        <f aca="false">G15</f>
        <v>354583</v>
      </c>
      <c r="H24" s="88"/>
      <c r="I24" s="89" t="s">
        <v>584</v>
      </c>
    </row>
    <row r="25" customFormat="false" ht="18.75" hidden="false" customHeight="true" outlineLevel="0" collapsed="false">
      <c r="B25" s="90" t="s">
        <v>585</v>
      </c>
      <c r="C25" s="90"/>
      <c r="D25" s="90"/>
      <c r="E25" s="90"/>
      <c r="F25" s="90"/>
      <c r="G25" s="91" t="n">
        <f aca="false">G23-G24</f>
        <v>1780000</v>
      </c>
      <c r="H25" s="92"/>
      <c r="I25" s="93" t="s">
        <v>586</v>
      </c>
    </row>
    <row r="27" customFormat="false" ht="15" hidden="false" customHeight="true" outlineLevel="0" collapsed="false">
      <c r="B27" s="37" t="s">
        <v>587</v>
      </c>
      <c r="C27" s="37"/>
      <c r="D27" s="37"/>
      <c r="E27" s="37"/>
      <c r="F27" s="37"/>
      <c r="G27" s="94" t="n">
        <v>37153599</v>
      </c>
      <c r="I27" s="95" t="s">
        <v>588</v>
      </c>
    </row>
    <row r="28" customFormat="false" ht="27.75" hidden="false" customHeight="true" outlineLevel="0" collapsed="false">
      <c r="B28" s="37" t="s">
        <v>589</v>
      </c>
      <c r="C28" s="37"/>
      <c r="D28" s="37"/>
      <c r="E28" s="37"/>
      <c r="F28" s="37"/>
      <c r="G28" s="96" t="n">
        <f aca="false">G23/G27</f>
        <v>0.0574529267003178</v>
      </c>
      <c r="I28" s="95" t="s">
        <v>590</v>
      </c>
    </row>
    <row r="29" customFormat="false" ht="18.75" hidden="false" customHeight="true" outlineLevel="0" collapsed="false">
      <c r="B29" s="97" t="s">
        <v>591</v>
      </c>
      <c r="C29" s="97"/>
      <c r="D29" s="97"/>
      <c r="E29" s="97"/>
      <c r="F29" s="97"/>
      <c r="G29" s="98" t="n">
        <f aca="false">G25/G27</f>
        <v>0.0479092213919841</v>
      </c>
      <c r="I29" s="93" t="s">
        <v>592</v>
      </c>
    </row>
    <row r="31" customFormat="false" ht="67.5" hidden="false" customHeight="true" outlineLevel="0" collapsed="false">
      <c r="A31" s="99" t="s">
        <v>593</v>
      </c>
      <c r="B31" s="99"/>
      <c r="C31" s="99"/>
      <c r="D31" s="99"/>
      <c r="E31" s="99"/>
      <c r="F31" s="99"/>
      <c r="G31" s="99"/>
      <c r="H31" s="99"/>
      <c r="I31" s="99"/>
    </row>
  </sheetData>
  <mergeCells count="15">
    <mergeCell ref="A1:I1"/>
    <mergeCell ref="A2:I2"/>
    <mergeCell ref="A4:I4"/>
    <mergeCell ref="E5:I5"/>
    <mergeCell ref="A7:I7"/>
    <mergeCell ref="A11:I11"/>
    <mergeCell ref="A17:I17"/>
    <mergeCell ref="A22:I22"/>
    <mergeCell ref="B23:F23"/>
    <mergeCell ref="B24:F24"/>
    <mergeCell ref="B25:F25"/>
    <mergeCell ref="B27:F27"/>
    <mergeCell ref="B28:F28"/>
    <mergeCell ref="B29:F29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90"/>
  </cols>
  <sheetData>
    <row r="1" customFormat="false" ht="25.5" hidden="false" customHeight="true" outlineLevel="0" collapsed="false">
      <c r="A1" s="2" t="s">
        <v>594</v>
      </c>
      <c r="B1" s="2"/>
      <c r="C1" s="2"/>
    </row>
    <row r="2" customFormat="false" ht="30" hidden="false" customHeight="true" outlineLevel="0" collapsed="false">
      <c r="A2" s="3" t="s">
        <v>595</v>
      </c>
      <c r="B2" s="3"/>
      <c r="C2" s="3"/>
    </row>
    <row r="4" customFormat="false" ht="18" hidden="false" customHeight="true" outlineLevel="0" collapsed="false">
      <c r="A4" s="4" t="s">
        <v>596</v>
      </c>
      <c r="B4" s="4"/>
      <c r="C4" s="4"/>
    </row>
    <row r="5" customFormat="false" ht="21.75" hidden="false" customHeight="true" outlineLevel="0" collapsed="false">
      <c r="B5" s="20" t="s">
        <v>597</v>
      </c>
      <c r="C5" s="100" t="s">
        <v>598</v>
      </c>
    </row>
    <row r="6" customFormat="false" ht="21.75" hidden="false" customHeight="true" outlineLevel="0" collapsed="false">
      <c r="B6" s="20" t="s">
        <v>599</v>
      </c>
      <c r="C6" s="21" t="s">
        <v>600</v>
      </c>
    </row>
    <row r="7" customFormat="false" ht="21.75" hidden="false" customHeight="true" outlineLevel="0" collapsed="false">
      <c r="B7" s="20" t="s">
        <v>601</v>
      </c>
      <c r="C7" s="21" t="s">
        <v>602</v>
      </c>
    </row>
    <row r="8" customFormat="false" ht="21.75" hidden="false" customHeight="true" outlineLevel="0" collapsed="false">
      <c r="B8" s="20" t="s">
        <v>603</v>
      </c>
      <c r="C8" s="21" t="s">
        <v>604</v>
      </c>
    </row>
    <row r="9" customFormat="false" ht="21.75" hidden="false" customHeight="true" outlineLevel="0" collapsed="false">
      <c r="B9" s="20" t="s">
        <v>605</v>
      </c>
      <c r="C9" s="21" t="s">
        <v>606</v>
      </c>
    </row>
    <row r="11" customFormat="false" ht="18" hidden="false" customHeight="true" outlineLevel="0" collapsed="false">
      <c r="A11" s="101" t="s">
        <v>607</v>
      </c>
      <c r="B11" s="101"/>
      <c r="C11" s="101"/>
    </row>
    <row r="12" customFormat="false" ht="55.5" hidden="false" customHeight="true" outlineLevel="0" collapsed="false">
      <c r="B12" s="8" t="s">
        <v>608</v>
      </c>
      <c r="C12" s="8"/>
    </row>
    <row r="14" customFormat="false" ht="18" hidden="false" customHeight="true" outlineLevel="0" collapsed="false">
      <c r="A14" s="4" t="s">
        <v>609</v>
      </c>
      <c r="B14" s="4"/>
      <c r="C14" s="4"/>
    </row>
    <row r="15" customFormat="false" ht="48" hidden="false" customHeight="true" outlineLevel="0" collapsed="false">
      <c r="B15" s="24" t="s">
        <v>610</v>
      </c>
      <c r="C15" s="24"/>
    </row>
  </sheetData>
  <mergeCells count="7">
    <mergeCell ref="A1:C1"/>
    <mergeCell ref="A2:C2"/>
    <mergeCell ref="A4:C4"/>
    <mergeCell ref="A11:C11"/>
    <mergeCell ref="B12:C12"/>
    <mergeCell ref="A14:C14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48"/>
  </cols>
  <sheetData>
    <row r="1" customFormat="false" ht="25.5" hidden="false" customHeight="true" outlineLevel="0" collapsed="false">
      <c r="A1" s="2" t="s">
        <v>611</v>
      </c>
      <c r="B1" s="2"/>
      <c r="C1" s="2"/>
      <c r="D1" s="2"/>
      <c r="E1" s="2"/>
    </row>
    <row r="2" customFormat="false" ht="30" hidden="false" customHeight="true" outlineLevel="0" collapsed="false">
      <c r="A2" s="3" t="s">
        <v>612</v>
      </c>
      <c r="B2" s="3"/>
      <c r="C2" s="3"/>
      <c r="D2" s="3"/>
      <c r="E2" s="3"/>
    </row>
    <row r="4" customFormat="false" ht="18" hidden="false" customHeight="true" outlineLevel="0" collapsed="false">
      <c r="A4" s="4" t="s">
        <v>613</v>
      </c>
      <c r="B4" s="4"/>
      <c r="C4" s="4"/>
      <c r="D4" s="4"/>
      <c r="E4" s="4"/>
    </row>
    <row r="5" customFormat="false" ht="15" hidden="false" customHeight="true" outlineLevel="0" collapsed="false">
      <c r="B5" s="22" t="s">
        <v>207</v>
      </c>
      <c r="C5" s="22" t="s">
        <v>614</v>
      </c>
      <c r="D5" s="22" t="s">
        <v>615</v>
      </c>
      <c r="E5" s="22" t="s">
        <v>616</v>
      </c>
    </row>
    <row r="6" customFormat="false" ht="39.75" hidden="false" customHeight="true" outlineLevel="0" collapsed="false">
      <c r="B6" s="11" t="s">
        <v>211</v>
      </c>
      <c r="C6" s="9" t="s">
        <v>617</v>
      </c>
      <c r="D6" s="9" t="s">
        <v>618</v>
      </c>
      <c r="E6" s="9" t="s">
        <v>619</v>
      </c>
    </row>
    <row r="7" customFormat="false" ht="39.75" hidden="false" customHeight="true" outlineLevel="0" collapsed="false">
      <c r="B7" s="15" t="s">
        <v>216</v>
      </c>
      <c r="C7" s="13" t="s">
        <v>620</v>
      </c>
      <c r="D7" s="13" t="s">
        <v>621</v>
      </c>
      <c r="E7" s="13" t="s">
        <v>622</v>
      </c>
    </row>
    <row r="8" customFormat="false" ht="39.75" hidden="false" customHeight="true" outlineLevel="0" collapsed="false">
      <c r="B8" s="11" t="s">
        <v>220</v>
      </c>
      <c r="C8" s="9" t="s">
        <v>623</v>
      </c>
      <c r="D8" s="9" t="s">
        <v>624</v>
      </c>
      <c r="E8" s="9" t="s">
        <v>625</v>
      </c>
    </row>
    <row r="9" customFormat="false" ht="39.75" hidden="false" customHeight="true" outlineLevel="0" collapsed="false">
      <c r="B9" s="15" t="s">
        <v>224</v>
      </c>
      <c r="C9" s="102" t="s">
        <v>626</v>
      </c>
      <c r="D9" s="13" t="s">
        <v>627</v>
      </c>
      <c r="E9" s="13" t="s">
        <v>628</v>
      </c>
    </row>
    <row r="10" customFormat="false" ht="39.75" hidden="false" customHeight="true" outlineLevel="0" collapsed="false">
      <c r="B10" s="11" t="s">
        <v>231</v>
      </c>
      <c r="C10" s="103" t="s">
        <v>629</v>
      </c>
      <c r="D10" s="9" t="s">
        <v>630</v>
      </c>
      <c r="E10" s="9" t="s">
        <v>631</v>
      </c>
    </row>
    <row r="11" customFormat="false" ht="39.75" hidden="false" customHeight="true" outlineLevel="0" collapsed="false">
      <c r="B11" s="15" t="s">
        <v>236</v>
      </c>
      <c r="C11" s="102" t="s">
        <v>632</v>
      </c>
      <c r="D11" s="13" t="s">
        <v>633</v>
      </c>
      <c r="E11" s="13" t="s">
        <v>634</v>
      </c>
    </row>
    <row r="13" customFormat="false" ht="18" hidden="false" customHeight="true" outlineLevel="0" collapsed="false">
      <c r="A13" s="30" t="s">
        <v>635</v>
      </c>
      <c r="B13" s="30"/>
      <c r="C13" s="30"/>
      <c r="D13" s="30"/>
      <c r="E13" s="30"/>
    </row>
    <row r="14" customFormat="false" ht="63.75" hidden="false" customHeight="true" outlineLevel="0" collapsed="false">
      <c r="B14" s="104" t="s">
        <v>636</v>
      </c>
      <c r="C14" s="104"/>
      <c r="D14" s="104"/>
      <c r="E14" s="104"/>
    </row>
  </sheetData>
  <mergeCells count="5">
    <mergeCell ref="A1:E1"/>
    <mergeCell ref="A2:E2"/>
    <mergeCell ref="A4:E4"/>
    <mergeCell ref="A13:E13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48"/>
  </cols>
  <sheetData>
    <row r="1" customFormat="false" ht="25.5" hidden="false" customHeight="true" outlineLevel="0" collapsed="false">
      <c r="A1" s="2" t="s">
        <v>637</v>
      </c>
      <c r="B1" s="2"/>
      <c r="C1" s="2"/>
      <c r="D1" s="2"/>
      <c r="E1" s="2"/>
    </row>
    <row r="2" customFormat="false" ht="30" hidden="false" customHeight="true" outlineLevel="0" collapsed="false">
      <c r="A2" s="3" t="s">
        <v>638</v>
      </c>
      <c r="B2" s="3"/>
      <c r="C2" s="3"/>
      <c r="D2" s="3"/>
      <c r="E2" s="3"/>
    </row>
    <row r="4" customFormat="false" ht="18" hidden="false" customHeight="true" outlineLevel="0" collapsed="false">
      <c r="A4" s="4" t="s">
        <v>639</v>
      </c>
      <c r="B4" s="4"/>
      <c r="C4" s="4"/>
      <c r="D4" s="4"/>
      <c r="E4" s="4"/>
    </row>
    <row r="5" customFormat="false" ht="15" hidden="false" customHeight="true" outlineLevel="0" collapsed="false">
      <c r="B5" s="22" t="s">
        <v>207</v>
      </c>
      <c r="C5" s="22" t="s">
        <v>640</v>
      </c>
      <c r="D5" s="22" t="s">
        <v>615</v>
      </c>
      <c r="E5" s="22" t="s">
        <v>616</v>
      </c>
    </row>
    <row r="6" customFormat="false" ht="42" hidden="false" customHeight="true" outlineLevel="0" collapsed="false">
      <c r="B6" s="11" t="s">
        <v>211</v>
      </c>
      <c r="C6" s="9" t="s">
        <v>641</v>
      </c>
      <c r="D6" s="9" t="s">
        <v>642</v>
      </c>
      <c r="E6" s="9" t="s">
        <v>643</v>
      </c>
    </row>
    <row r="7" customFormat="false" ht="42" hidden="false" customHeight="true" outlineLevel="0" collapsed="false">
      <c r="B7" s="15" t="s">
        <v>216</v>
      </c>
      <c r="C7" s="13" t="s">
        <v>644</v>
      </c>
      <c r="D7" s="13" t="s">
        <v>645</v>
      </c>
      <c r="E7" s="13" t="s">
        <v>646</v>
      </c>
    </row>
    <row r="8" customFormat="false" ht="42" hidden="false" customHeight="true" outlineLevel="0" collapsed="false">
      <c r="B8" s="11" t="s">
        <v>220</v>
      </c>
      <c r="C8" s="9" t="s">
        <v>647</v>
      </c>
      <c r="D8" s="9" t="s">
        <v>648</v>
      </c>
      <c r="E8" s="9" t="s">
        <v>649</v>
      </c>
    </row>
    <row r="9" customFormat="false" ht="42" hidden="false" customHeight="true" outlineLevel="0" collapsed="false">
      <c r="B9" s="15" t="s">
        <v>224</v>
      </c>
      <c r="C9" s="13" t="s">
        <v>650</v>
      </c>
      <c r="D9" s="13" t="s">
        <v>651</v>
      </c>
      <c r="E9" s="13" t="s">
        <v>652</v>
      </c>
    </row>
    <row r="10" customFormat="false" ht="42" hidden="false" customHeight="true" outlineLevel="0" collapsed="false">
      <c r="B10" s="11" t="s">
        <v>231</v>
      </c>
      <c r="C10" s="9" t="s">
        <v>653</v>
      </c>
      <c r="D10" s="9" t="s">
        <v>654</v>
      </c>
      <c r="E10" s="9" t="s">
        <v>655</v>
      </c>
    </row>
    <row r="12" customFormat="false" ht="18" hidden="false" customHeight="true" outlineLevel="0" collapsed="false">
      <c r="A12" s="30" t="s">
        <v>656</v>
      </c>
      <c r="B12" s="30"/>
      <c r="C12" s="30"/>
      <c r="D12" s="30"/>
      <c r="E12" s="30"/>
    </row>
    <row r="13" customFormat="false" ht="91.5" hidden="false" customHeight="true" outlineLevel="0" collapsed="false">
      <c r="B13" s="104" t="s">
        <v>657</v>
      </c>
      <c r="C13" s="104"/>
      <c r="D13" s="104"/>
      <c r="E13" s="104"/>
    </row>
  </sheetData>
  <mergeCells count="5">
    <mergeCell ref="A1:E1"/>
    <mergeCell ref="A2:E2"/>
    <mergeCell ref="A4:E4"/>
    <mergeCell ref="A12:E12"/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4" min="4" style="1" width="48"/>
  </cols>
  <sheetData>
    <row r="1" customFormat="false" ht="25.5" hidden="false" customHeight="true" outlineLevel="0" collapsed="false">
      <c r="A1" s="2" t="s">
        <v>658</v>
      </c>
      <c r="B1" s="2"/>
      <c r="C1" s="2"/>
      <c r="D1" s="2"/>
    </row>
    <row r="2" customFormat="false" ht="30" hidden="false" customHeight="true" outlineLevel="0" collapsed="false">
      <c r="A2" s="3" t="s">
        <v>659</v>
      </c>
      <c r="B2" s="3"/>
      <c r="C2" s="3"/>
      <c r="D2" s="3"/>
    </row>
    <row r="4" customFormat="false" ht="18" hidden="false" customHeight="true" outlineLevel="0" collapsed="false">
      <c r="A4" s="4" t="s">
        <v>660</v>
      </c>
      <c r="B4" s="4"/>
      <c r="C4" s="4"/>
      <c r="D4" s="4"/>
    </row>
    <row r="5" customFormat="false" ht="15" hidden="false" customHeight="true" outlineLevel="0" collapsed="false">
      <c r="B5" s="22" t="s">
        <v>230</v>
      </c>
      <c r="C5" s="22" t="s">
        <v>615</v>
      </c>
      <c r="D5" s="22" t="s">
        <v>108</v>
      </c>
    </row>
    <row r="6" customFormat="false" ht="55.5" hidden="false" customHeight="true" outlineLevel="0" collapsed="false">
      <c r="B6" s="103" t="s">
        <v>661</v>
      </c>
      <c r="C6" s="9" t="s">
        <v>662</v>
      </c>
      <c r="D6" s="9" t="s">
        <v>663</v>
      </c>
    </row>
    <row r="7" customFormat="false" ht="55.5" hidden="false" customHeight="true" outlineLevel="0" collapsed="false">
      <c r="B7" s="102" t="s">
        <v>664</v>
      </c>
      <c r="C7" s="13" t="s">
        <v>665</v>
      </c>
      <c r="D7" s="13" t="s">
        <v>666</v>
      </c>
    </row>
    <row r="8" customFormat="false" ht="55.5" hidden="false" customHeight="true" outlineLevel="0" collapsed="false">
      <c r="B8" s="9" t="s">
        <v>667</v>
      </c>
      <c r="C8" s="9" t="s">
        <v>668</v>
      </c>
      <c r="D8" s="9" t="s">
        <v>669</v>
      </c>
    </row>
    <row r="9" customFormat="false" ht="55.5" hidden="false" customHeight="true" outlineLevel="0" collapsed="false">
      <c r="B9" s="13" t="s">
        <v>670</v>
      </c>
      <c r="C9" s="13" t="s">
        <v>671</v>
      </c>
      <c r="D9" s="13" t="s">
        <v>672</v>
      </c>
    </row>
    <row r="11" customFormat="false" ht="18" hidden="false" customHeight="true" outlineLevel="0" collapsed="false">
      <c r="A11" s="30" t="s">
        <v>673</v>
      </c>
      <c r="B11" s="30"/>
      <c r="C11" s="30"/>
      <c r="D11" s="30"/>
    </row>
    <row r="12" customFormat="false" ht="63.75" hidden="false" customHeight="true" outlineLevel="0" collapsed="false">
      <c r="B12" s="104" t="s">
        <v>674</v>
      </c>
      <c r="C12" s="104"/>
      <c r="D12" s="104"/>
    </row>
  </sheetData>
  <mergeCells count="5">
    <mergeCell ref="A1:D1"/>
    <mergeCell ref="A2:D2"/>
    <mergeCell ref="A4:D4"/>
    <mergeCell ref="A11:D11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34"/>
    <col collapsed="false" customWidth="true" hidden="false" outlineLevel="0" max="4" min="4" style="1" width="36"/>
    <col collapsed="false" customWidth="true" hidden="false" outlineLevel="0" max="5" min="5" style="1" width="40"/>
  </cols>
  <sheetData>
    <row r="1" customFormat="false" ht="25.5" hidden="false" customHeight="true" outlineLevel="0" collapsed="false">
      <c r="A1" s="2" t="s">
        <v>675</v>
      </c>
      <c r="B1" s="2"/>
      <c r="C1" s="2"/>
      <c r="D1" s="2"/>
      <c r="E1" s="2"/>
    </row>
    <row r="2" customFormat="false" ht="30" hidden="false" customHeight="true" outlineLevel="0" collapsed="false">
      <c r="A2" s="3" t="s">
        <v>676</v>
      </c>
      <c r="B2" s="3"/>
      <c r="C2" s="3"/>
      <c r="D2" s="3"/>
      <c r="E2" s="3"/>
    </row>
    <row r="4" customFormat="false" ht="15" hidden="false" customHeight="true" outlineLevel="0" collapsed="false">
      <c r="B4" s="22" t="s">
        <v>207</v>
      </c>
      <c r="C4" s="22" t="s">
        <v>677</v>
      </c>
      <c r="D4" s="22" t="s">
        <v>678</v>
      </c>
      <c r="E4" s="22" t="s">
        <v>679</v>
      </c>
    </row>
    <row r="5" customFormat="false" ht="43.5" hidden="false" customHeight="true" outlineLevel="0" collapsed="false">
      <c r="B5" s="11" t="s">
        <v>211</v>
      </c>
      <c r="C5" s="103" t="s">
        <v>680</v>
      </c>
      <c r="D5" s="9" t="s">
        <v>681</v>
      </c>
      <c r="E5" s="9" t="s">
        <v>682</v>
      </c>
    </row>
    <row r="6" customFormat="false" ht="43.5" hidden="false" customHeight="true" outlineLevel="0" collapsed="false">
      <c r="B6" s="15" t="s">
        <v>216</v>
      </c>
      <c r="C6" s="13" t="s">
        <v>683</v>
      </c>
      <c r="D6" s="13" t="s">
        <v>684</v>
      </c>
      <c r="E6" s="13" t="s">
        <v>685</v>
      </c>
    </row>
    <row r="7" customFormat="false" ht="43.5" hidden="false" customHeight="true" outlineLevel="0" collapsed="false">
      <c r="B7" s="11" t="s">
        <v>220</v>
      </c>
      <c r="C7" s="103" t="s">
        <v>686</v>
      </c>
      <c r="D7" s="9" t="s">
        <v>687</v>
      </c>
      <c r="E7" s="9" t="s">
        <v>688</v>
      </c>
    </row>
    <row r="8" customFormat="false" ht="43.5" hidden="false" customHeight="true" outlineLevel="0" collapsed="false">
      <c r="B8" s="15" t="s">
        <v>224</v>
      </c>
      <c r="C8" s="102" t="s">
        <v>689</v>
      </c>
      <c r="D8" s="13" t="s">
        <v>690</v>
      </c>
      <c r="E8" s="13" t="s">
        <v>691</v>
      </c>
    </row>
    <row r="9" customFormat="false" ht="43.5" hidden="false" customHeight="true" outlineLevel="0" collapsed="false">
      <c r="B9" s="11" t="s">
        <v>231</v>
      </c>
      <c r="C9" s="9" t="s">
        <v>692</v>
      </c>
      <c r="D9" s="9" t="s">
        <v>693</v>
      </c>
      <c r="E9" s="9" t="s">
        <v>694</v>
      </c>
    </row>
    <row r="11" customFormat="false" ht="39.75" hidden="false" customHeight="true" outlineLevel="0" collapsed="false">
      <c r="A11" s="105" t="s">
        <v>695</v>
      </c>
      <c r="B11" s="105"/>
      <c r="C11" s="105"/>
      <c r="D11" s="105"/>
      <c r="E11" s="105"/>
    </row>
  </sheetData>
  <mergeCells count="3">
    <mergeCell ref="A1:E1"/>
    <mergeCell ref="A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52"/>
    <col collapsed="false" customWidth="true" hidden="false" outlineLevel="0" max="4" min="4" style="1" width="26"/>
  </cols>
  <sheetData>
    <row r="1" customFormat="false" ht="25.5" hidden="false" customHeight="true" outlineLevel="0" collapsed="false">
      <c r="A1" s="2" t="s">
        <v>696</v>
      </c>
      <c r="B1" s="2"/>
      <c r="C1" s="2"/>
      <c r="D1" s="2"/>
    </row>
    <row r="2" customFormat="false" ht="30" hidden="false" customHeight="true" outlineLevel="0" collapsed="false">
      <c r="A2" s="3" t="s">
        <v>697</v>
      </c>
      <c r="B2" s="3"/>
      <c r="C2" s="3"/>
      <c r="D2" s="3"/>
    </row>
    <row r="4" customFormat="false" ht="18" hidden="false" customHeight="true" outlineLevel="0" collapsed="false">
      <c r="A4" s="4" t="s">
        <v>698</v>
      </c>
      <c r="B4" s="4"/>
      <c r="C4" s="4"/>
      <c r="D4" s="4"/>
    </row>
    <row r="5" customFormat="false" ht="15" hidden="false" customHeight="true" outlineLevel="0" collapsed="false">
      <c r="B5" s="22" t="s">
        <v>250</v>
      </c>
      <c r="C5" s="22" t="s">
        <v>699</v>
      </c>
      <c r="D5" s="22" t="s">
        <v>700</v>
      </c>
    </row>
    <row r="6" customFormat="false" ht="43.5" hidden="false" customHeight="true" outlineLevel="0" collapsed="false">
      <c r="B6" s="9" t="s">
        <v>701</v>
      </c>
      <c r="C6" s="9" t="s">
        <v>702</v>
      </c>
      <c r="D6" s="9" t="s">
        <v>703</v>
      </c>
    </row>
    <row r="7" customFormat="false" ht="43.5" hidden="false" customHeight="true" outlineLevel="0" collapsed="false">
      <c r="B7" s="13" t="s">
        <v>701</v>
      </c>
      <c r="C7" s="13" t="s">
        <v>704</v>
      </c>
      <c r="D7" s="13" t="s">
        <v>705</v>
      </c>
    </row>
    <row r="8" customFormat="false" ht="43.5" hidden="false" customHeight="true" outlineLevel="0" collapsed="false">
      <c r="B8" s="9" t="s">
        <v>701</v>
      </c>
      <c r="C8" s="9" t="s">
        <v>706</v>
      </c>
      <c r="D8" s="9" t="s">
        <v>707</v>
      </c>
    </row>
    <row r="9" customFormat="false" ht="43.5" hidden="false" customHeight="true" outlineLevel="0" collapsed="false">
      <c r="B9" s="13" t="s">
        <v>708</v>
      </c>
      <c r="C9" s="13" t="s">
        <v>709</v>
      </c>
      <c r="D9" s="13" t="s">
        <v>710</v>
      </c>
    </row>
    <row r="10" customFormat="false" ht="43.5" hidden="false" customHeight="true" outlineLevel="0" collapsed="false">
      <c r="B10" s="9" t="s">
        <v>711</v>
      </c>
      <c r="C10" s="9" t="s">
        <v>712</v>
      </c>
      <c r="D10" s="9" t="s">
        <v>713</v>
      </c>
    </row>
    <row r="12" customFormat="false" ht="18" hidden="false" customHeight="true" outlineLevel="0" collapsed="false">
      <c r="A12" s="4" t="s">
        <v>714</v>
      </c>
      <c r="B12" s="4"/>
      <c r="C12" s="4"/>
      <c r="D12" s="4"/>
    </row>
    <row r="13" customFormat="false" ht="15" hidden="false" customHeight="true" outlineLevel="0" collapsed="false">
      <c r="B13" s="22" t="s">
        <v>715</v>
      </c>
      <c r="C13" s="22" t="s">
        <v>716</v>
      </c>
      <c r="D13" s="22" t="s">
        <v>717</v>
      </c>
    </row>
    <row r="14" customFormat="false" ht="57.75" hidden="false" customHeight="true" outlineLevel="0" collapsed="false">
      <c r="B14" s="9" t="s">
        <v>718</v>
      </c>
      <c r="C14" s="9" t="s">
        <v>719</v>
      </c>
      <c r="D14" s="9" t="s">
        <v>720</v>
      </c>
    </row>
    <row r="15" customFormat="false" ht="57.75" hidden="false" customHeight="true" outlineLevel="0" collapsed="false">
      <c r="B15" s="13" t="s">
        <v>721</v>
      </c>
      <c r="C15" s="13" t="s">
        <v>722</v>
      </c>
      <c r="D15" s="13" t="s">
        <v>723</v>
      </c>
    </row>
    <row r="16" customFormat="false" ht="57.75" hidden="false" customHeight="true" outlineLevel="0" collapsed="false">
      <c r="B16" s="9" t="s">
        <v>724</v>
      </c>
      <c r="C16" s="103" t="s">
        <v>725</v>
      </c>
      <c r="D16" s="9" t="s">
        <v>726</v>
      </c>
    </row>
    <row r="18" customFormat="false" ht="48" hidden="false" customHeight="true" outlineLevel="0" collapsed="false">
      <c r="A18" s="106" t="s">
        <v>727</v>
      </c>
      <c r="B18" s="106"/>
      <c r="C18" s="106"/>
      <c r="D18" s="106"/>
    </row>
  </sheetData>
  <mergeCells count="5">
    <mergeCell ref="A1:D1"/>
    <mergeCell ref="A2:D2"/>
    <mergeCell ref="A4:D4"/>
    <mergeCell ref="A12:D1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70"/>
    <col collapsed="false" customWidth="true" hidden="false" outlineLevel="0" max="4" min="4" style="1" width="14"/>
  </cols>
  <sheetData>
    <row r="1" customFormat="false" ht="25.5" hidden="false" customHeight="true" outlineLevel="0" collapsed="false">
      <c r="A1" s="2" t="s">
        <v>728</v>
      </c>
      <c r="B1" s="2"/>
      <c r="C1" s="2"/>
      <c r="D1" s="2"/>
    </row>
    <row r="2" customFormat="false" ht="30" hidden="false" customHeight="true" outlineLevel="0" collapsed="false">
      <c r="A2" s="3" t="s">
        <v>729</v>
      </c>
      <c r="B2" s="3"/>
      <c r="C2" s="3"/>
      <c r="D2" s="3"/>
    </row>
    <row r="4" customFormat="false" ht="18" hidden="false" customHeight="true" outlineLevel="0" collapsed="false">
      <c r="A4" s="107" t="s">
        <v>730</v>
      </c>
      <c r="B4" s="107"/>
      <c r="C4" s="107"/>
      <c r="D4" s="107"/>
    </row>
    <row r="5" customFormat="false" ht="43.5" hidden="false" customHeight="true" outlineLevel="0" collapsed="false">
      <c r="B5" s="65" t="s">
        <v>731</v>
      </c>
      <c r="C5" s="105" t="s">
        <v>732</v>
      </c>
      <c r="D5" s="105"/>
    </row>
    <row r="6" customFormat="false" ht="43.5" hidden="false" customHeight="true" outlineLevel="0" collapsed="false">
      <c r="B6" s="65" t="s">
        <v>733</v>
      </c>
      <c r="C6" s="105" t="s">
        <v>734</v>
      </c>
      <c r="D6" s="105"/>
    </row>
    <row r="7" customFormat="false" ht="43.5" hidden="false" customHeight="true" outlineLevel="0" collapsed="false">
      <c r="B7" s="65" t="s">
        <v>735</v>
      </c>
      <c r="C7" s="105" t="s">
        <v>736</v>
      </c>
      <c r="D7" s="105"/>
    </row>
    <row r="8" customFormat="false" ht="43.5" hidden="false" customHeight="true" outlineLevel="0" collapsed="false">
      <c r="B8" s="65" t="s">
        <v>737</v>
      </c>
      <c r="C8" s="105" t="s">
        <v>738</v>
      </c>
      <c r="D8" s="105"/>
    </row>
    <row r="9" customFormat="false" ht="30" hidden="false" customHeight="true" outlineLevel="0" collapsed="false">
      <c r="B9" s="65" t="s">
        <v>739</v>
      </c>
      <c r="C9" s="105" t="s">
        <v>740</v>
      </c>
      <c r="D9" s="105"/>
    </row>
    <row r="11" customFormat="false" ht="18" hidden="false" customHeight="true" outlineLevel="0" collapsed="false">
      <c r="A11" s="4" t="s">
        <v>741</v>
      </c>
      <c r="B11" s="4"/>
      <c r="C11" s="4"/>
      <c r="D11" s="4"/>
    </row>
    <row r="12" customFormat="false" ht="15" hidden="false" customHeight="true" outlineLevel="0" collapsed="false">
      <c r="B12" s="22" t="s">
        <v>742</v>
      </c>
      <c r="C12" s="22" t="s">
        <v>743</v>
      </c>
      <c r="D12" s="22" t="s">
        <v>744</v>
      </c>
    </row>
    <row r="13" customFormat="false" ht="51.75" hidden="false" customHeight="true" outlineLevel="0" collapsed="false">
      <c r="B13" s="9" t="s">
        <v>745</v>
      </c>
      <c r="C13" s="9" t="s">
        <v>746</v>
      </c>
      <c r="D13" s="9" t="s">
        <v>747</v>
      </c>
    </row>
    <row r="14" customFormat="false" ht="51.75" hidden="false" customHeight="true" outlineLevel="0" collapsed="false">
      <c r="B14" s="13" t="s">
        <v>748</v>
      </c>
      <c r="C14" s="102" t="s">
        <v>749</v>
      </c>
      <c r="D14" s="13" t="s">
        <v>750</v>
      </c>
    </row>
    <row r="15" customFormat="false" ht="51.75" hidden="false" customHeight="true" outlineLevel="0" collapsed="false">
      <c r="B15" s="9" t="s">
        <v>751</v>
      </c>
      <c r="C15" s="9" t="s">
        <v>752</v>
      </c>
      <c r="D15" s="9" t="s">
        <v>747</v>
      </c>
    </row>
    <row r="16" customFormat="false" ht="51.75" hidden="false" customHeight="true" outlineLevel="0" collapsed="false">
      <c r="B16" s="13" t="s">
        <v>753</v>
      </c>
      <c r="C16" s="13" t="s">
        <v>754</v>
      </c>
      <c r="D16" s="13" t="s">
        <v>755</v>
      </c>
    </row>
    <row r="17" customFormat="false" ht="51.75" hidden="false" customHeight="true" outlineLevel="0" collapsed="false">
      <c r="B17" s="9" t="s">
        <v>756</v>
      </c>
      <c r="C17" s="9" t="s">
        <v>757</v>
      </c>
      <c r="D17" s="9" t="s">
        <v>750</v>
      </c>
    </row>
    <row r="18" customFormat="false" ht="51.75" hidden="false" customHeight="true" outlineLevel="0" collapsed="false">
      <c r="B18" s="13" t="s">
        <v>758</v>
      </c>
      <c r="C18" s="13" t="s">
        <v>759</v>
      </c>
      <c r="D18" s="13" t="s">
        <v>750</v>
      </c>
    </row>
    <row r="19" customFormat="false" ht="51.75" hidden="false" customHeight="true" outlineLevel="0" collapsed="false">
      <c r="B19" s="9" t="s">
        <v>760</v>
      </c>
      <c r="C19" s="9" t="s">
        <v>761</v>
      </c>
      <c r="D19" s="9" t="s">
        <v>755</v>
      </c>
    </row>
    <row r="21" customFormat="false" ht="43.5" hidden="false" customHeight="true" outlineLevel="0" collapsed="false">
      <c r="A21" s="19" t="s">
        <v>762</v>
      </c>
      <c r="B21" s="19"/>
      <c r="C21" s="19"/>
      <c r="D21" s="19"/>
    </row>
  </sheetData>
  <mergeCells count="10">
    <mergeCell ref="A1:D1"/>
    <mergeCell ref="A2:D2"/>
    <mergeCell ref="A4:D4"/>
    <mergeCell ref="C5:D5"/>
    <mergeCell ref="C6:D6"/>
    <mergeCell ref="C7:D7"/>
    <mergeCell ref="C8:D8"/>
    <mergeCell ref="C9:D9"/>
    <mergeCell ref="A11:D11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2026-08-03T17:37:56Z</dcterms:created>
  <dc:creator>openpyxl</dc:creator>
  <dc:description/>
  <dc:language>en-US</dc:language>
  <cp:lastModifiedBy/>
  <dcterms:modified xsi:type="dcterms:W3CDTF">2026-08-03T17:51:27Z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