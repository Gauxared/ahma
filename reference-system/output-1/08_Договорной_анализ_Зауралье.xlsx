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Резюме_Заключение" sheetId="1" state="visible" r:id="rId3"/>
    <sheet name="01_Правовой_паспорт" sheetId="2" state="visible" r:id="rId4"/>
    <sheet name="02_Реестр_рисков" sheetId="3" state="visible" r:id="rId5"/>
    <sheet name="03_Разграничение_объёма" sheetId="4" state="visible" r:id="rId6"/>
    <sheet name="04_НДС_22_позиция" sheetId="5" state="visible" r:id="rId7"/>
    <sheet name="05_Блок_КС_защита" sheetId="6" state="visible" r:id="rId8"/>
    <sheet name="06_РЖД_окна_риски" sheetId="7" state="visible" r:id="rId9"/>
    <sheet name="07_Обеспечение_БГ_ГУ" sheetId="8" state="visible" r:id="rId10"/>
    <sheet name="08_Формулировки" sheetId="9" state="visible" r:id="rId11"/>
    <sheet name="09_Претензионная" sheetId="10" state="visible" r:id="rId12"/>
    <sheet name="10_Три_варианта" sheetId="11" state="visible" r:id="rId13"/>
    <sheet name="11_Передачи_смежникам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<sst xmlns="http://schemas.openxmlformats.org/spreadsheetml/2006/main" count="474" uniqueCount="454">
  <si>
    <t xml:space="preserve">СТРОЙИНТЕЛЛЕКТ.ДОГОВОРНИК · ИИ-ДОГОВОРНИК · ПРАВОВОЙ ЩИТ — ТАКТ 4б</t>
  </si>
  <si>
    <t xml:space="preserve">ЖДПП «Зауралье» — оснащение СОТ + ЭОМ · ст. Зауралье, 76 км · Половинский р-н · Курганская обл. · Такт 4б · ИИ-договорник · СтройИнтеллект.Договорник v8.2 · 03.08.2026</t>
  </si>
  <si>
    <t xml:space="preserve">⚠ ГЛАВНАЯ ОГОВОРКА (стандарт Школы №19): ДОГОВОР НЕ ПОЛУЧЕН. Стадия предстартовая, ПД «П». Весь анализ — ПРЕДВАРИТЕЛЬНЫЙ по 44-ФЗ/ГК как шаблону. Точность правовых рисков ±15%. Первая задача ИИ-договорника: получить проект договора + идентифицировать Заказчика/ЛПР и режим закупки.</t>
  </si>
  <si>
    <t xml:space="preserve">ЗАКЛЮЧЕНИЕ ИИ-ДОГОВОРНИКА — 4 СТРОКИ</t>
  </si>
  <si>
    <t xml:space="preserve">🔴</t>
  </si>
  <si>
    <t xml:space="preserve">ОБЪЁМ НЕ РАЗГРАНИЧЕН — 5 спорных зон на десятки млн (железо СОТ 15,8–45,6 млн, металл опор 5–7,5 млн, ТП/внешнее ЭС, аттестация ФСТЭК, блок КС 64,7 млн). Без письменного разграничения в договоре — риск, что Заказчик навяжет нам поставку/работы по нашей цене → объект убыточный.</t>
  </si>
  <si>
    <t xml:space="preserve">БЛОК «ВЫНОС КС» 64,71 млн — ДОГОВОРНАЯ БОМБА. При твёрдой цене на весь объём и физическом отсутствии работы (200 км в смете vs ~17 км по факту; работать на КС 27,5 кВ вправе только ЭЧ РЖД) закрыть на КС-2 нельзя. Сценарий В = маржа −5,33 млн + риск фиктивных актов (ст. 159 УК). Категорически чистим ДО подписания.</t>
  </si>
  <si>
    <t xml:space="preserve">НДС 22% с 01.01.2026 (ФЗ 425-ФЗ), смета в 20%. Работы 2026 → ставка 22% независимо от даты договора. При формуле «цена твёрдая, включая НДС» 2% (≈2,14 млн) съедает подрядчик. Нужна формула «НДС сверху» либо ссылка на механизм изменения цены госконтракта (2026).</t>
  </si>
  <si>
    <t xml:space="preserve">🟡</t>
  </si>
  <si>
    <t xml:space="preserve">ЗАКАЗЧИК/РЕЖИМ ЗАКУПКИ НЕ УСТАНОВЛЕН. Интересант — ПУ ФСБ (погранпункт, категорированные помещения, гостайна). Высокая вероятность ГОЗ (275-ФЗ) / закрытой закупки → раздельный учёт, уполномоченный банк, ПРАВИЛО РЕНТАБЕЛЬНОСТИ «1%+20%», лицензии ФСБ/ФСТЭК. Это меняет всю финмодель — ИИ-экономисту немедленно.</t>
  </si>
  <si>
    <t xml:space="preserve">КЛЮЧЕВЫЕ ЦИФРЫ ПРАВОВЫХ РИСКОВ (₽) — каждый риск в рублях (Протокол 2)</t>
  </si>
  <si>
    <t xml:space="preserve">№</t>
  </si>
  <si>
    <t xml:space="preserve">Показатель / риск</t>
  </si>
  <si>
    <t xml:space="preserve">Сумма, ₽</t>
  </si>
  <si>
    <t xml:space="preserve">Комментарий / источник</t>
  </si>
  <si>
    <t xml:space="preserve">1</t>
  </si>
  <si>
    <t xml:space="preserve">НМЦК (потолок цены) с НДС 20%</t>
  </si>
  <si>
    <t xml:space="preserve">ССРСС; источник — ИИ-руководитель проекта/ИИ-сметчик. НДС факт. 22%</t>
  </si>
  <si>
    <t xml:space="preserve">2</t>
  </si>
  <si>
    <t xml:space="preserve">Гл.1-9 без НДС (= Σ 4 ЛСР)</t>
  </si>
  <si>
    <t xml:space="preserve">база всех расчётов; ССРСС</t>
  </si>
  <si>
    <t xml:space="preserve">3</t>
  </si>
  <si>
    <t xml:space="preserve">🔴 Блок «вынос КС» — незакрываемый на КС-2</t>
  </si>
  <si>
    <t xml:space="preserve">ИИ-ГИП+ИИ-сметчик: 200 км в смете vs ~17 км факт</t>
  </si>
  <si>
    <t xml:space="preserve">4</t>
  </si>
  <si>
    <t xml:space="preserve">🔴 НДС-разрыв 20%→22% (при цене «с НДС»)</t>
  </si>
  <si>
    <t xml:space="preserve">2% от Гл.1-9 без НДС; ФЗ 425-ФЗ</t>
  </si>
  <si>
    <t xml:space="preserve">5</t>
  </si>
  <si>
    <t xml:space="preserve">🟡 «Железо» СОТ — объём под вопросом (макс)</t>
  </si>
  <si>
    <t xml:space="preserve">ИИ-снабженец: если наша поставка — себес +до 45,6 млн</t>
  </si>
  <si>
    <t xml:space="preserve">6</t>
  </si>
  <si>
    <t xml:space="preserve">🟡 Металл опор — объём под вопросом (макс)</t>
  </si>
  <si>
    <t xml:space="preserve">ИИ-снабженец: 5,06–7,54 млн, не бьётся с материалами</t>
  </si>
  <si>
    <t xml:space="preserve">7</t>
  </si>
  <si>
    <t xml:space="preserve">🟢 Реальный подрядный фронт (сценарий Б)</t>
  </si>
  <si>
    <t xml:space="preserve">ИИ-подрядчик: П-1 ЭОМ + П-2 СОТ + П-3 ПНР/СП-СИ</t>
  </si>
  <si>
    <t xml:space="preserve">8</t>
  </si>
  <si>
    <t xml:space="preserve">🟡 Двойной счёт ПНР (снимается экспертизой)</t>
  </si>
  <si>
    <t xml:space="preserve">ИИ-ГИП/ИИ-сметчик/ИИ-ПТО: воздух, ст.94 44-ФЗ снимет</t>
  </si>
  <si>
    <t xml:space="preserve">9</t>
  </si>
  <si>
    <t xml:space="preserve">🟡 Производство ИД сверх сметы (макс)</t>
  </si>
  <si>
    <t xml:space="preserve">ИИ-ПТО: ЭТЛ+оптика+геодезия+эл.ИД, не выделено</t>
  </si>
  <si>
    <t xml:space="preserve">ИТОГ ПО МАРЖЕ (из финрезультата ИИ-сметчика) — знак маржи определяет судьба блока КС</t>
  </si>
  <si>
    <t xml:space="preserve">Сценарий</t>
  </si>
  <si>
    <t xml:space="preserve">Суть (договорная развилка)</t>
  </si>
  <si>
    <t xml:space="preserve">Маржа, ₽</t>
  </si>
  <si>
    <t xml:space="preserve">% к выручке · вывод</t>
  </si>
  <si>
    <t xml:space="preserve">А</t>
  </si>
  <si>
    <t xml:space="preserve">РЖД подтвердил вынос КС → делаем и закрываем</t>
  </si>
  <si>
    <t xml:space="preserve">Б</t>
  </si>
  <si>
    <t xml:space="preserve">Объём КС снят (ценовой аудит Гл.12) — БАЗОВЫЙ</t>
  </si>
  <si>
    <t xml:space="preserve">В</t>
  </si>
  <si>
    <t xml:space="preserve">Тверд. цена, вынос НЕ делаем — деньги за воздух</t>
  </si>
  <si>
    <t xml:space="preserve">РЕКОМЕНДАЦИЯ ИИ-ДОГОВОРНИКА (решение — за ИИ-руководителем проекта): строить договор по СЦЕНАРИЮ Б. Реальный фронт ~37 млн твёрдой ценой; блок КС — исключить/передать Заказчику; оборудование СОТ — давальческое (акты); аттестация ФСТЭК — уточнить объём. Красная линия маржи — 5%.</t>
  </si>
  <si>
    <t xml:space="preserve">КАРТА ФАЙЛА</t>
  </si>
  <si>
    <t xml:space="preserve">01_Правовой_паспорт</t>
  </si>
  <si>
    <t xml:space="preserve">Паспорт объекта в правовой части: стороны, режим, обеспечение, объём</t>
  </si>
  <si>
    <t xml:space="preserve">02_Реестр_рисков ⭐⭐</t>
  </si>
  <si>
    <t xml:space="preserve">ГЛАВНЫЙ: по позициямионный реестр договорных рисков &gt;500 тыс, каждый в ₽</t>
  </si>
  <si>
    <t xml:space="preserve">03_Разграничение объёма ⭐⭐</t>
  </si>
  <si>
    <t xml:space="preserve">5 спорных зон объёма: наш / Заказчика / смешанно + правовое оформление</t>
  </si>
  <si>
    <t xml:space="preserve">04_НДС_22_позиция</t>
  </si>
  <si>
    <t xml:space="preserve">НДС 20→22 в переходный период: позиция, формулы, механизм 2026</t>
  </si>
  <si>
    <t xml:space="preserve">05_Блок_КС_защита ⭐</t>
  </si>
  <si>
    <t xml:space="preserve">Как договорно защититься по «выносу КС» 64,71 млн (нельзя на КС-2)</t>
  </si>
  <si>
    <t xml:space="preserve">06_РЖД_окна_риски</t>
  </si>
  <si>
    <t xml:space="preserve">Распределение рисков простоя по «окнам» РЖД; акт-допуск, наряды</t>
  </si>
  <si>
    <t xml:space="preserve">07_Обеспечение_БГ_ГУ</t>
  </si>
  <si>
    <t xml:space="preserve">БГ vs ГУ, обеспечение исполнения, аванс; расчёт стоимости БГ</t>
  </si>
  <si>
    <t xml:space="preserve">08_Формулировки ⭐</t>
  </si>
  <si>
    <t xml:space="preserve">Три колонки: текущий риск / наша редакция / аргументы для Заказчика</t>
  </si>
  <si>
    <t xml:space="preserve">09_Претензионная</t>
  </si>
  <si>
    <t xml:space="preserve">Pre-mortem «Заказчик не платит 90 дней» + претензионный порядок + сроки</t>
  </si>
  <si>
    <t xml:space="preserve">10_Три_варианта</t>
  </si>
  <si>
    <t xml:space="preserve">Матрица 3 вариантов структуры договора по критериям 1–5</t>
  </si>
  <si>
    <t xml:space="preserve">11_Передачи смежникам</t>
  </si>
  <si>
    <t xml:space="preserve">Алерт ИИ-руководителю проекта + передачи ИИ-экономист/ИИ-сметчик/ИИ-снабженец/ИИ-подрядчик/ИИ-ПТО/ИИ-администратор</t>
  </si>
  <si>
    <t xml:space="preserve">ЦВЕТ (стандарт v8): синий текст — исходные данные/цифры из артефактов команды с источником; чёрный — расчёт-формула; жёлтая заливка — ключевое допущение или ячейка «заполнить после получения договора». Правовая норма — со ссылкой на ГК/44-ФЗ (опорная база ИИ-договорника v1.0).</t>
  </si>
  <si>
    <t xml:space="preserve">ПРАВОВОЙ ПАСПОРТ ОБЪЕКТА</t>
  </si>
  <si>
    <t xml:space="preserve">Источник: паспорт ИИ-руководителя проекта (Такт 0) + техзаключение ИИ-ГИП + артефакты ИИ-снабженца/ИИ-подрядчика/ИИ-ПТО. Правовые выводы — ИИ-договорник.</t>
  </si>
  <si>
    <t xml:space="preserve">СТОРОНЫ И РЕЖИМ</t>
  </si>
  <si>
    <t xml:space="preserve">ID объекта</t>
  </si>
  <si>
    <t xml:space="preserve">SI-2026-KRG-ZAU-СОТ</t>
  </si>
  <si>
    <t xml:space="preserve">Наименование</t>
  </si>
  <si>
    <t xml:space="preserve">Оснащение системой видеонаблюдения ЖДПП «Зауралье». СОТ (охранное ТВ) + ЭОМ (электроснабжение 0,4 кВ)</t>
  </si>
  <si>
    <t xml:space="preserve">Адрес</t>
  </si>
  <si>
    <t xml:space="preserve">Курганская обл., Половинский р-н, ст. Зауралье, 76 км, пк 6+80 — действующий погранпункт пропуска РЖД</t>
  </si>
  <si>
    <t xml:space="preserve">⚠ Заказчик / ЛПР</t>
  </si>
  <si>
    <t xml:space="preserve">НЕ ИДЕНТИФИЦИРОВАН в файлах. Интересант — ПУ ФСБ по Курганской и Тюменской обл. Установить: наименование, ИНН, судебная история, источник финансирования</t>
  </si>
  <si>
    <t xml:space="preserve">⚠ Режим закупки</t>
  </si>
  <si>
    <t xml:space="preserve">НЕ УСТАНОВЛЕН. Гипотезы: 44-ФЗ (в т.ч. закрытая закупка ст.84 — гостайна) / ГОЗ 275-ФЗ / 223-ФЗ / коммерческий. От этого зависит ВСЁ: процедура, обеспечение, аванс, изменение, ответственность, учёт</t>
  </si>
  <si>
    <t xml:space="preserve">Проектировщик</t>
  </si>
  <si>
    <t xml:space="preserve">АО «Оргэнергострой», Москва. Проект 1102/23-Зауралье. ГИП Безъязыков Д.С.</t>
  </si>
  <si>
    <t xml:space="preserve">Наша роль</t>
  </si>
  <si>
    <t xml:space="preserve">Генподряд / подряд на СМР+монтаж. Уточнить: с поставкой оборудования или без (флаг объёма)</t>
  </si>
  <si>
    <t xml:space="preserve">ЦЕНА И НАЛОГИ</t>
  </si>
  <si>
    <t xml:space="preserve">Сметная стоимость</t>
  </si>
  <si>
    <t xml:space="preserve">128 491 484 ₽ с НДС 20% (ур. цен II кв.2025); без НДС 107 076 237 ₽ (Гл.1-9 = Σ 4 ЛСР)</t>
  </si>
  <si>
    <t xml:space="preserve">Тип цены (гипотеза)</t>
  </si>
  <si>
    <t xml:space="preserve">Вероятно ТВЁРДАЯ (ст.709 ГК) — типично для 44-ФЗ. ⚠ При твёрдой цене экономия наша (ст.710), но и удорожание/НДС — наш риск</t>
  </si>
  <si>
    <t xml:space="preserve">⚠ НДС</t>
  </si>
  <si>
    <t xml:space="preserve">В смете 20%. С 01.01.2026 — 22% (ФЗ 425-ФЗ). Работы 2026 → ставка 22%. Недобор ≈2,14 млн при формуле «включая НДС»</t>
  </si>
  <si>
    <t xml:space="preserve">РЕЖИМНЫЕ И ОТРАСЛЕВЫЕ УСЛОВИЯ</t>
  </si>
  <si>
    <t xml:space="preserve">Категорированный объект</t>
  </si>
  <si>
    <t xml:space="preserve">Погранпункт, категорированные помещения (ФЗ 5485-1 «О гостайне»). Требуются лицензии ФСБ (гостайна) + ФСТЭК (ТЗКИ) у подрядчика СОТ, допуски персонала</t>
  </si>
  <si>
    <t xml:space="preserve">Действующая ж/д + КС 27,5 кВ</t>
  </si>
  <si>
    <t xml:space="preserve">Работы на путях РЖД: акт-допуск (СП 48.13330.2019), наряды-допуски (приказ 903н; РЖД 301/р), «окна» РЖД. КС под напряжением — только силами ЭЧ РЖД</t>
  </si>
  <si>
    <t xml:space="preserve">Аттестация ФСТЭК</t>
  </si>
  <si>
    <t xml:space="preserve">Приказ ФСТЭК №77 от 29.04.2021 — аттестация объекта информатизации. ⚠ Объём (наш/Заказчика) не определён — ИИ-ПТО</t>
  </si>
  <si>
    <t xml:space="preserve">Спецпроверки СП/СИ</t>
  </si>
  <si>
    <t xml:space="preserve">В смете Гл.9 — 354 583 ₽ (ЛСР 09-02), учтено. Аттестация — отдельно, объём открыт</t>
  </si>
  <si>
    <t xml:space="preserve">ОБЕСПЕЧЕНИЕ И СРОКИ (заполнить после получения договора)</t>
  </si>
  <si>
    <t xml:space="preserve">Аванс</t>
  </si>
  <si>
    <t xml:space="preserve">НЕ ИЗВЕСТЕН — заполнить</t>
  </si>
  <si>
    <t xml:space="preserve">Обеспечение исполнения</t>
  </si>
  <si>
    <t xml:space="preserve">НЕ ИЗВЕСТНО — заполнить (44-ФЗ ст.96: деньги или независимая гарантия; при ГОЗ — уполномоченный банк)</t>
  </si>
  <si>
    <t xml:space="preserve">Гарантийное удержание (ГУ)</t>
  </si>
  <si>
    <t xml:space="preserve">НЕ ИЗВЕСТНО — заполнить. При наличии ГУ — считать замену на БГ (лист 07)</t>
  </si>
  <si>
    <t xml:space="preserve">Плановый срок</t>
  </si>
  <si>
    <t xml:space="preserve">НЕ ЗАДАН. Зимний ж/д монтаж + «окна» РЖД — риск простоя, не отражён в смете</t>
  </si>
  <si>
    <t xml:space="preserve">Целевая маржа</t>
  </si>
  <si>
    <t xml:space="preserve">8–9% НМЦК (ИИ-руководитель проекта); красная линия 5%. ⚠ При ГОЗ — потолок рентабельности по правилу «1%+20%»</t>
  </si>
  <si>
    <t xml:space="preserve">ПО ПОЗИЦИЯМ РЕЕСТР ДОГОВОРНЫХ РИСКОВ (порог &gt;500 тыс ₽) — каждый риск в рублях</t>
  </si>
  <si>
    <t xml:space="preserve">Зона ИИ-договорника (Часть 6.B промпта). Норма — со ссылкой на ГК/44-ФЗ (опорная база v1.0). Денежная оценка — из артефактов ИИ-сметчика/ИИ-снабженца/ИИ-подрядчика/ИИ-ПТО.</t>
  </si>
  <si>
    <t xml:space="preserve">Риск / договорная ловушка</t>
  </si>
  <si>
    <t xml:space="preserve">Суть и правовое основание</t>
  </si>
  <si>
    <t xml:space="preserve">Норма (опорн. база)</t>
  </si>
  <si>
    <t xml:space="preserve">Денежная оценка, ₽</t>
  </si>
  <si>
    <t xml:space="preserve">Наша позиция</t>
  </si>
  <si>
    <t xml:space="preserve">Действие / формулировка</t>
  </si>
  <si>
    <t xml:space="preserve">Адресат</t>
  </si>
  <si>
    <t xml:space="preserve">R-1</t>
  </si>
  <si>
    <t xml:space="preserve">Блок «вынос КС» в твёрдой цене</t>
  </si>
  <si>
    <t xml:space="preserve">Смета содержит 64,71 млн работ «вынос/возврат КС» (200 км), физически ~17 км; работать на КС 27,5 кВ вправе только ЭЧ РЖД. Оплата возможна только за фактически выполненное (ст.720,743,753). Закрыть на КС-2 нельзя.</t>
  </si>
  <si>
    <t xml:space="preserve">ст.709/710/720/743/753 ГК; ст.94 44-ФЗ</t>
  </si>
  <si>
    <t xml:space="preserve">до −64 710 398 выручки / −5,33 млн маржи (сцен. В)</t>
  </si>
  <si>
    <t xml:space="preserve">🔴 сильная (нельзя актировать невыполненное)</t>
  </si>
  <si>
    <t xml:space="preserve">Исключить блок из объёма ИЛИ выделить отд. этапом «по факту силами ЭЧ РЖД». Запрос Заказчику/проектировщику до подписания.</t>
  </si>
  <si>
    <t xml:space="preserve">ИИ-руководитель проекта · ИИ-экономист · ИИ-ПТО</t>
  </si>
  <si>
    <t xml:space="preserve">R-2</t>
  </si>
  <si>
    <t xml:space="preserve">НДС 20% в смете vs 22% с 2026</t>
  </si>
  <si>
    <t xml:space="preserve">Работы исполняются в 2026 → НДС 22% (ФЗ 425-ФЗ) независимо от даты договора. Формула «цена включая НДС» перекладывает 2% на подрядчика.</t>
  </si>
  <si>
    <t xml:space="preserve">ФЗ 425-ФЗ; ст.709 ГК; ст.95 44-ФЗ; механизм 2026</t>
  </si>
  <si>
    <t xml:space="preserve">−2 141 525 (2% × 107,08 млн)</t>
  </si>
  <si>
    <t xml:space="preserve">🟡 спорная (зависит от формулы цены)</t>
  </si>
  <si>
    <t xml:space="preserve">«НДС сверху» ИЛИ ссылка на механизм изменения цены госконтракта из-за НДС (2026). Протокол разногласий.</t>
  </si>
  <si>
    <t xml:space="preserve">ИИ-экономист · ИИ-руководитель проекта</t>
  </si>
  <si>
    <t xml:space="preserve">R-3</t>
  </si>
  <si>
    <t xml:space="preserve">Объём «железа» СОТ не закреплён</t>
  </si>
  <si>
    <t xml:space="preserve">202 камеры, 2×СХД, 8×РЛС, крипто — на 15,8–45,6 млн. В смете как поставка НЕТ. Если Заказчик потребует поставку по нашей цене — объект глубоко убыточный.</t>
  </si>
  <si>
    <t xml:space="preserve">ст.702,704,713,714 ГК; ст.34 44-ФЗ</t>
  </si>
  <si>
    <t xml:space="preserve">до −45 600 000 себес (если наша поставка)</t>
  </si>
  <si>
    <t xml:space="preserve">🟡 спорная (нужно закрепить)</t>
  </si>
  <si>
    <t xml:space="preserve">В договоре явно: «Оборудование СОТ (перечень) — давальческое Заказчика; Подрядчик — монтаж». Акты приёма-передачи + отв. хранение.</t>
  </si>
  <si>
    <t xml:space="preserve">ИИ-снабженец · ИИ-руководитель проекта</t>
  </si>
  <si>
    <t xml:space="preserve">R-4</t>
  </si>
  <si>
    <t xml:space="preserve">Металл опор — объём поставки</t>
  </si>
  <si>
    <t xml:space="preserve">133 опоры на 5,06–7,54 млн не бьются с материальной частью сметы (материалы всего 1,86 млн). Неясно, наша поставка или отдельно.</t>
  </si>
  <si>
    <t xml:space="preserve">ст.704,745 ГК (иждивение сторон)</t>
  </si>
  <si>
    <t xml:space="preserve">до −7 540 840 себес (если наша, не в смете)</t>
  </si>
  <si>
    <t xml:space="preserve">🟡 спорная</t>
  </si>
  <si>
    <t xml:space="preserve">Разграничить в спецификации: опоры/стойки — чья поставка. Если наша и не в смете — допсмета (ИИ-сметчик).</t>
  </si>
  <si>
    <t xml:space="preserve">ИИ-снабженец · ИИ-сметчик</t>
  </si>
  <si>
    <t xml:space="preserve">R-5</t>
  </si>
  <si>
    <t xml:space="preserve">Аттестация ФСТЭК — объём открыт</t>
  </si>
  <si>
    <t xml:space="preserve">Аттестация объекта информатизации (приказ ФСТЭК №77) — не определено, наша или Заказчика. Без аттестата ввод невозможен → блокер приёмки.</t>
  </si>
  <si>
    <t xml:space="preserve">приказ ФСТЭК №77; ФЗ 5485-1; ст.720,753 ГК</t>
  </si>
  <si>
    <t xml:space="preserve">оценка ИИ-ПТО/ИИ-снабженца (лицензиат)</t>
  </si>
  <si>
    <t xml:space="preserve">Прописать чётко: аттестация — Заказчик ИЛИ мы (тогда в цену). Лицензии ФСБ/ФСТЭК подрядчика — обязательное условие.</t>
  </si>
  <si>
    <t xml:space="preserve">ИИ-ПТО · ИИ-снабженец</t>
  </si>
  <si>
    <t xml:space="preserve">R-6</t>
  </si>
  <si>
    <t xml:space="preserve">Простои по «окнам» РЖД</t>
  </si>
  <si>
    <t xml:space="preserve">Работа на действующих путях; «окна» РЖД. Простои по графику РЖД (третье лицо) в смете не отражены = прямой убыток. Кто несёт — не урегулировано.</t>
  </si>
  <si>
    <t xml:space="preserve">ст.708,718,719 ГК</t>
  </si>
  <si>
    <t xml:space="preserve">−6…−8 млн (оценка ИИ-сметчика, сцен. А/В)</t>
  </si>
  <si>
    <t xml:space="preserve">🟡 спорная (по умолчанию — наш риск)</t>
  </si>
  <si>
    <t xml:space="preserve">«Заказчик обеспечивает «окна» и доступ; простой по непредоставлению — продление срока (ст.708) + компенсация факт. затрат».</t>
  </si>
  <si>
    <t xml:space="preserve">ИИ-подрядчик · ИИ-ПТО · ИИ-экономист</t>
  </si>
  <si>
    <t xml:space="preserve">R-7</t>
  </si>
  <si>
    <t xml:space="preserve">Двойной счёт ПНР</t>
  </si>
  <si>
    <t xml:space="preserve">ПНР задвоены на 890 670 ₽ — «воздух» в цене. При экспертизе (ст.94 44-ФЗ) Заказчик снимет. Это НЕ экономия ст.710 — это ошибка сметы.</t>
  </si>
  <si>
    <t xml:space="preserve">ст.94 44-ФЗ; ст.709 ГК</t>
  </si>
  <si>
    <t xml:space="preserve">−890 670 (снимается при аудите)</t>
  </si>
  <si>
    <t xml:space="preserve">🟡 слабая (ошибка сметы)</t>
  </si>
  <si>
    <t xml:space="preserve">Снять до подписания (согласовано с ИИ-сметчиком/ИИ-ПТО), не рассчитывать на это как на маржу.</t>
  </si>
  <si>
    <t xml:space="preserve">ИИ-сметчик · ИИ-экономист</t>
  </si>
  <si>
    <t xml:space="preserve">R-8</t>
  </si>
  <si>
    <t xml:space="preserve">Заказчик/режим не установлен → нельзя БДДС</t>
  </si>
  <si>
    <t xml:space="preserve">Без ЛПР, режима закупки и схемы оплаты нельзя строить БДДС, оценить кассовый разрыв, обеспечение, аванс. Если ГОЗ (275-ФЗ) — потолок рентабельности, отд. счёт, раздельный учёт.</t>
  </si>
  <si>
    <t xml:space="preserve">275-ФЗ (ГОЗ); ст.96 44-ФЗ; НК 54.1</t>
  </si>
  <si>
    <t xml:space="preserve">влияет на всю маржу (потолок 1%+20% при ГОЗ)</t>
  </si>
  <si>
    <t xml:space="preserve">🔴 критично (вход финмодели)</t>
  </si>
  <si>
    <t xml:space="preserve">Официальный запрос: кто Заказчик, режим, аванс, обеспечение, банк. До ответа финмодель = гадание.</t>
  </si>
  <si>
    <t xml:space="preserve">ИИ-руководитель проекта · ИИ-экономист</t>
  </si>
  <si>
    <t xml:space="preserve">R-9</t>
  </si>
  <si>
    <t xml:space="preserve">Производство ИД сверх сметы</t>
  </si>
  <si>
    <t xml:space="preserve">ЭТЛ, оптические измерения, геодезия, электронная ИД (ГОСТ Р 70108-2025), аттестация — 1,3–1,8 млн, в смете отдельно не выделены. При твёрдой цене — наш расход.</t>
  </si>
  <si>
    <t xml:space="preserve">ст.709,726 ГК; приказ 344/пр</t>
  </si>
  <si>
    <t xml:space="preserve">−1 300 000…−1 800 000</t>
  </si>
  <si>
    <t xml:space="preserve">Учесть в себестоимости (ИИ-экономист) либо обосновать как отд. позицию. Требования к ИД — в договор (связка с ИИ-ПТО).</t>
  </si>
  <si>
    <t xml:space="preserve">ИИ-ПТО · ИИ-экономист</t>
  </si>
  <si>
    <t xml:space="preserve">R-10</t>
  </si>
  <si>
    <t xml:space="preserve">Реиндекс II кв.2025 → 2026</t>
  </si>
  <si>
    <t xml:space="preserve">Цена в ценах II кв.2025, исполнение 2026. При твёрдой цене удорожание (медь СИП/ВОК, металл, спецтехника) — наш риск, молча съедает маржу.</t>
  </si>
  <si>
    <t xml:space="preserve">ст.709,451 ГК; ПП 1315</t>
  </si>
  <si>
    <t xml:space="preserve">−2…−5 млн (оценка ИИ-сметчика)</t>
  </si>
  <si>
    <t xml:space="preserve">Пересчёт на дату работ (ИИ-сметчик). Если Заказчик держит цену 2025 — ст.451 / механизм изменения цены. Протокол разногласий.</t>
  </si>
  <si>
    <t xml:space="preserve">ФАКТ vs ПРЕДПОЛОЖЕНИЕ: ставка НДС 22% с 01.01.2026, блок КС 64,71 млн, реальный фронт 37,15 млн — ФАКТЫ из артефактов. Тип цены, аванс, режим закупки, формула НДС в договоре — ПРЕДПОЛОЖЕНИЯ (договора нет). Денежные оценки простоев/реиндекса — ориентиры ИИ-сметчика (±).</t>
  </si>
  <si>
    <t xml:space="preserve">МАТРИЦА РАЗГРАНИЧЕНИЯ ОБЪЁМА — «НАШ / ЗАКАЗЧИКА / СМЕШАННО»</t>
  </si>
  <si>
    <t xml:space="preserve">5 спорных зон на десятки млн. Пока не закреплено письменно в договоре — риск, что затраты лягут на нас (объект убыточный). Правовое оформление по каждой зоне.</t>
  </si>
  <si>
    <t xml:space="preserve">Зона объёма</t>
  </si>
  <si>
    <t xml:space="preserve">Сумма-ориентир, ₽</t>
  </si>
  <si>
    <t xml:space="preserve">Рекомендуемый объём</t>
  </si>
  <si>
    <t xml:space="preserve">Правовая форма</t>
  </si>
  <si>
    <t xml:space="preserve">Что прописать в договоре (ИИ-договорник)</t>
  </si>
  <si>
    <t xml:space="preserve">S-1</t>
  </si>
  <si>
    <t xml:space="preserve">«Железо» СОТ (камеры, СХД, РЛС, крипто, коммутаторы, ИБП)</t>
  </si>
  <si>
    <t xml:space="preserve">15 810 000 – 45 600 000</t>
  </si>
  <si>
    <t xml:space="preserve">Заказчика (давальческое)</t>
  </si>
  <si>
    <t xml:space="preserve">ст.713,714 ГК — переработка давальческого + отв. хранение</t>
  </si>
  <si>
    <t xml:space="preserve">«Оборудование СОТ по спецификации №__ поставляет Заказчик (давальческое сырьё). Передача — по акту приёма-передачи. Подрядчик несёт отв. хранение (ст.714). НДС Подрядчика — только на монтаж».</t>
  </si>
  <si>
    <t xml:space="preserve">S-2</t>
  </si>
  <si>
    <t xml:space="preserve">Металл опор / стойки</t>
  </si>
  <si>
    <t xml:space="preserve">5 061 500 – 7 540 840</t>
  </si>
  <si>
    <t xml:space="preserve">Уточнить (смешанно)</t>
  </si>
  <si>
    <t xml:space="preserve">ст.704,745 ГК — иждивение сторон</t>
  </si>
  <si>
    <t xml:space="preserve">«Поставка опор/стоек: [Подрядчик/Заказчик]. Если Подрядчик — стоимость включена в цену п.__ (допсмета)». Без этого — риск, что примут за нашу поставку сверх сметы.</t>
  </si>
  <si>
    <t xml:space="preserve">S-3</t>
  </si>
  <si>
    <t xml:space="preserve">Блок «вынос/возврат КС 27,5 кВ»</t>
  </si>
  <si>
    <t xml:space="preserve">64 710 398</t>
  </si>
  <si>
    <t xml:space="preserve">Заказчика ИЛИ отд. этап</t>
  </si>
  <si>
    <t xml:space="preserve">ст.706 ГК (субподряд с ЭЧ РЖД); ст.709 (приблиз. цена)</t>
  </si>
  <si>
    <t xml:space="preserve">«Работы на КС под напряжением выполняет ЭЧ РЖД по отд. соглашению; объём — по факту. Из твёрдой цены Подрядчика исключены». Иначе — деньги за воздух и риск ст.159 УК.</t>
  </si>
  <si>
    <t xml:space="preserve">S-4</t>
  </si>
  <si>
    <t xml:space="preserve">Внешнее электроснабжение (ТП, 2-й ввод, АВР)</t>
  </si>
  <si>
    <t xml:space="preserve">«на отд. проект» (ИИ-ГИП)</t>
  </si>
  <si>
    <t xml:space="preserve">Заказчика</t>
  </si>
  <si>
    <t xml:space="preserve">ст.704,747 ГК (обеспечение Заказчиком)</t>
  </si>
  <si>
    <t xml:space="preserve">«Внешнее электроснабжение (ТП, точка подключения, 2-й ввод) обеспечивает Заказчик. Границы балансовой принадлежности — акт». Иначе повесят на нас.</t>
  </si>
  <si>
    <t xml:space="preserve">S-5</t>
  </si>
  <si>
    <t xml:space="preserve">Аттестация объекта информатизации (ФСТЭК №77)</t>
  </si>
  <si>
    <t xml:space="preserve">оценка лицензиата</t>
  </si>
  <si>
    <t xml:space="preserve">Уточнить</t>
  </si>
  <si>
    <t xml:space="preserve">приказ ФСТЭК №77; ФЗ 5485-1</t>
  </si>
  <si>
    <t xml:space="preserve">«Аттестационные испытания и аттестат соответствия обеспечивает [Заказчик/Подрядчик]. Лицензии ФСБ/ФСТЭК — приложение к договору». Без аттестата — нет ввода.</t>
  </si>
  <si>
    <t xml:space="preserve">ПОЧЕМУ ЭТО ПЕРВЫЙ ПРИОРИТЕТ</t>
  </si>
  <si>
    <t xml:space="preserve">Если весь объём (железо 45,6 + опоры 7,5 + КС 64,7 = до 117,8 млн) по умолчанию окажется «наш» без давальческой схемы и без исключения блока КС — себестоимость превышает всю НМЦК. Договор без разграничения объёма = подписанный убыток. Это правовой стоп до Такта 5 (финмодель ИИ-экономиста).</t>
  </si>
  <si>
    <t xml:space="preserve">НДС 20% → 22%: ПОЗИЦИЯ И ФОРМУЛИРОВКИ (ФЗ №425-ФЗ от 28.11.2025)</t>
  </si>
  <si>
    <t xml:space="preserve">ФАКТ: с 01.01.2026 ставка НДС 22%. Работы 2026 → 22% независимо от даты договора. Смета — в 20%. Риск при формуле «цена включая НДС».</t>
  </si>
  <si>
    <t xml:space="preserve">РАСЧЁТ НЕДОБОРА (формулы)</t>
  </si>
  <si>
    <t xml:space="preserve">Показатель</t>
  </si>
  <si>
    <t xml:space="preserve">Значение, ₽</t>
  </si>
  <si>
    <t xml:space="preserve">Формула / источник</t>
  </si>
  <si>
    <t xml:space="preserve">Гл.1-9 без НДС (база)</t>
  </si>
  <si>
    <t xml:space="preserve">источник: ССРСС / ИИ-сметчик</t>
  </si>
  <si>
    <t xml:space="preserve">НДС в смете (20%)</t>
  </si>
  <si>
    <t xml:space="preserve">база × 20%</t>
  </si>
  <si>
    <t xml:space="preserve">НДС фактический (22%)</t>
  </si>
  <si>
    <t xml:space="preserve">база × 22% (ФЗ 425-ФЗ)</t>
  </si>
  <si>
    <t xml:space="preserve">НЕДОБОР при цене «с НДС 20%»</t>
  </si>
  <si>
    <t xml:space="preserve">база × 2% — съедает подрядчик</t>
  </si>
  <si>
    <t xml:space="preserve">ТРИ ПРАВОВЫЕ РАЗВИЛКИ (в зависимости от режима закупки и формулы цены)</t>
  </si>
  <si>
    <t xml:space="preserve">Ситуация</t>
  </si>
  <si>
    <t xml:space="preserve">Кто несёт 2%</t>
  </si>
  <si>
    <t xml:space="preserve">Что делает ИИ-договорник</t>
  </si>
  <si>
    <t xml:space="preserve">Договор ещё НЕ подписан (наш случай)</t>
  </si>
  <si>
    <t xml:space="preserve">—</t>
  </si>
  <si>
    <t xml:space="preserve">Формула «Цена работ ___ ₽, кроме того НДС по ставке на дату реализации». НДС сверху → рост ставки на Заказчике. Внести до подписания.</t>
  </si>
  <si>
    <t xml:space="preserve">44-ФЗ, твёрдая цена «включая НДС»</t>
  </si>
  <si>
    <t xml:space="preserve">Заказчик (через ДС)</t>
  </si>
  <si>
    <t xml:space="preserve">Механизм изменения цены госконтракта из-за роста НДС (2026, действует с 15.04.2026 до 01.10.2026 — опорная база лист 2). Инициировать ДС по ст.95.</t>
  </si>
  <si>
    <t xml:space="preserve">Коммерческий, цена «включая НДС» фиксирована</t>
  </si>
  <si>
    <t xml:space="preserve">Подрядчик</t>
  </si>
  <si>
    <t xml:space="preserve">2,14 млн — наш убыток. Протокол разногласий на этапе заключения ИЛИ ст.451 (сущ. изменение обстоятельств). ИИ-экономисту — в себестоимость.</t>
  </si>
  <si>
    <t xml:space="preserve">РЕКОМЕНДАЦИЯ: поскольку договора ещё нет — заходим с формулой «НДС сверху» (развилка 1). Это лучшая позиция: снимает риск 2,14 млн без спора. Если Заказчик навяжет «включая НДС» — держим механизм 2026 (развилка 2) как запасной. Решение — ИИ-руководитель проекта.</t>
  </si>
  <si>
    <t xml:space="preserve">БЛОК «ВЫНОС/ВОЗВРАТ КС» 64,71 млн — ДОГОВОРНАЯ ЗАЩИТА</t>
  </si>
  <si>
    <t xml:space="preserve">Единая позиция с ИИ-ГИП (геометрия/РД) и ИИ-сметчиком (объём) и ИИ-ПТО (нельзя актировать). Зона ИИ-договорника — как защититься договорно ДО подписания.</t>
  </si>
  <si>
    <t xml:space="preserve">🔴 СУТЬ ПРОБЛЕМЫ: смета содержит «вынос/возврат КС» на 64 710 398 ₽ (200 км по расц. ГЭСНм20-03-035). Физически на станции ~17 км всех проводов (ИИ-ГИП). Работать на КС 27,5 кВ под напряжением вправе ТОЛЬКО ЭЧ РЖД (ИИ-подрядчик). Мы физически не можем выполнить эти работы своими силами.</t>
  </si>
  <si>
    <t xml:space="preserve">ПРАВОВАЯ ЛОГИКА (почему нельзя закрыть на КС-2)</t>
  </si>
  <si>
    <t xml:space="preserve">ст.720, 743, 753 ГК</t>
  </si>
  <si>
    <t xml:space="preserve">Оплата — только за фактически выполненный и сданный результат. Невыполненное (или выполненное не нами) в КС-2 включать нельзя.</t>
  </si>
  <si>
    <t xml:space="preserve">ст.94 44-ФЗ</t>
  </si>
  <si>
    <t xml:space="preserve">Экспертиза результатов Заказчиком отклонит акт на невыполненные объёмы. Приёмка не состоится.</t>
  </si>
  <si>
    <t xml:space="preserve">ст.159 УК РФ</t>
  </si>
  <si>
    <t xml:space="preserve">Подписание КС-2 на фактически не выполненные работы = риск квалификации как хищение бюджетных средств. Категорически недопустимо. Это не «оптимизация».</t>
  </si>
  <si>
    <t xml:space="preserve">ст.710 ГК (НЕ применима)</t>
  </si>
  <si>
    <t xml:space="preserve">Это НЕ экономия подрядчика. Экономия — когда результат достигнут дешевле. Здесь результат физически не создаётся. Ст.710 не спасает.</t>
  </si>
  <si>
    <t xml:space="preserve">ТРИ ДОГОВОРНЫХ РЕШЕНИЯ (до подписания)</t>
  </si>
  <si>
    <t xml:space="preserve">1. Ценовой аудит объёма (БАЗОВЫЙ)</t>
  </si>
  <si>
    <t xml:space="preserve">Официальный запрос Заказчику/проектировщику: подтвердить фактический объём выноса КС по РД (не по стадии «П»). Пересчёт ведомости объёмов (ИИ-ГИП/ИИ-сметчик). Блок снимается/корректируется ДО подписания. Сценарий Б — маржа +5,67 млн.</t>
  </si>
  <si>
    <t xml:space="preserve">2. Исключить из нашего объёма</t>
  </si>
  <si>
    <t xml:space="preserve">Блок КС передаётся Заказчику напрямую (работы ЭЧ РЖД по прямому договору Заказчик↔РЖД). В нашем договоре — «работы на КС под напряжением не входят в объём Подрядчика». Чистое разграничение.</t>
  </si>
  <si>
    <t xml:space="preserve">3. Отдельный этап «по факту»</t>
  </si>
  <si>
    <t xml:space="preserve">Если Заказчик настаивает оставить блок у нас — выделить отдельным этапом с приблизительной ценой (ст.709), оплата «по факту выполнения силами/с привлечением ЭЧ РЖД», зеркальные риски простоя. Худший из приемлемых.</t>
  </si>
  <si>
    <t xml:space="preserve">РЕКОМЕНДАЦИЯ ИИ-ДОГОВОРНИКА: путь 1 (ценовой аудит) как основной + путь 2 (исключение) как резерв. Путь 3 — только если Заказчик жёстко держит объём. Дорогой мой, это не пункт — это бомба на 64 миллиона. Читать и чистить ДО подписания, а не после.</t>
  </si>
  <si>
    <t xml:space="preserve">РАБОТА НА ДЕЙСТВУЮЩИХ ПУТЯХ РЖД — РАСПРЕДЕЛЕНИЕ РИСКОВ ПРОСТОЯ</t>
  </si>
  <si>
    <t xml:space="preserve">Флаг 5 ИИ-руководителя проекта + зоны ИИ-подрядчика/ИИ-ПТО. «Окна» РЖД, наряды-допуски, простои в смете НЕ отражены. Правовое распределение — ИИ-договорник.</t>
  </si>
  <si>
    <t xml:space="preserve">Элемент</t>
  </si>
  <si>
    <t xml:space="preserve">Правовая проблема</t>
  </si>
  <si>
    <t xml:space="preserve">Формулировка в договор (наша защита)</t>
  </si>
  <si>
    <t xml:space="preserve">«Окна» РЖД (перерывы движения)</t>
  </si>
  <si>
    <t xml:space="preserve">Простой по графику РЖД (третье лицо) — по умолчанию риск подрядчика. В смете простои не заложены = прямой убыток −6…−8 млн (ИИ-сметчик).</t>
  </si>
  <si>
    <t xml:space="preserve">«Заказчик обеспечивает согласование и предоставление «окон» РЖД в согласованные сроки. Простой по причине непредоставления/переноса «окон» не по вине Подрядчика — основание для продления срока (ст.708 ГК) и компенсации фактических затрат (простой техники, бригад)».</t>
  </si>
  <si>
    <t xml:space="preserve">Акт-допуск на территорию РЖД</t>
  </si>
  <si>
    <t xml:space="preserve">Без акта-допуска (СП 48.13330.2019) выход на объект невозможен. Оформляет Заказчик/владелец инфраструктуры.</t>
  </si>
  <si>
    <t xml:space="preserve">«Заказчик обеспечивает оформление акта-допуска и доступ Подрядчика на территорию в срок __ дней до начала. Задержка — продление срока».</t>
  </si>
  <si>
    <t xml:space="preserve">Наряды-допуски у КС</t>
  </si>
  <si>
    <t xml:space="preserve">Работы у КС — по нарядам-допускам (приказ 903н; РЖД 301/р), группы электробезопасности. Оформление — время и допуски.</t>
  </si>
  <si>
    <t xml:space="preserve">«Порядок оформления нарядов-допусков и взаимодействия с ЭЧ РЖД — приложение к договору. Сроки оформления не входят в срок работ Подрядчика».</t>
  </si>
  <si>
    <t xml:space="preserve">КС под напряжением 27,5 кВ</t>
  </si>
  <si>
    <t xml:space="preserve">Снятие/подача напряжения — только силами ЭЧ РЖД. Мы не вправе.</t>
  </si>
  <si>
    <t xml:space="preserve">«Работы, требующие снятия напряжения на КС, выполняются силами ЭЧ РЖД. Стоимость и сроки — по отдельному соглашению; в твёрдую цену Подрядчика не входят» (связка с листом 05, S-3).</t>
  </si>
  <si>
    <t xml:space="preserve">Зимний ж/д монтаж</t>
  </si>
  <si>
    <t xml:space="preserve">Плановый срок не задан; зимний монтаж на путях — доп. риск и ограничения.</t>
  </si>
  <si>
    <t xml:space="preserve">«Сроки этапов учитывают технологические «окна» и сезонные ограничения РЖД. График — приложение, корректируется по фактическим «окнам»».</t>
  </si>
  <si>
    <t xml:space="preserve">Принцип: РЖД — не Заказчик и не Подрядчик. Риск простоя по инфраструктуре нельзя оставлять «по умолчанию» на нас (ст.718,719 ГК защищают частично). Переносим на Заказчика как на лицо, обеспечивающее фронт и доступ. Без этих формулировок каждое «окно» — наш убыток.</t>
  </si>
  <si>
    <t xml:space="preserve">ОБЕСПЕЧЕНИЕ ОБЯЗАТЕЛЬСТВ: БГ vs ГУ, АВАНС (системный вопрос B2G)</t>
  </si>
  <si>
    <t xml:space="preserve">Стандарт v8 (Школа №19): на каждом B2G — считать замену гарантийного удержания на банковскую гарантию. ⚠ Параметры договора неизвестны — расчёт по гипотезе.</t>
  </si>
  <si>
    <t xml:space="preserve">РАСЧЁТ СТОИМОСТИ БГ (формулы; жёлтое — заполнить из договора)</t>
  </si>
  <si>
    <t xml:space="preserve">Параметр</t>
  </si>
  <si>
    <t xml:space="preserve">Значение</t>
  </si>
  <si>
    <t xml:space="preserve">Источник / примечание</t>
  </si>
  <si>
    <t xml:space="preserve">НМЦК (база для обеспечения)</t>
  </si>
  <si>
    <t xml:space="preserve">ССРСС с НДС; источник — ИИ-руководитель проекта/ИИ-сметчик</t>
  </si>
  <si>
    <t xml:space="preserve">Ставка гарантийного удержания (ГУ), %</t>
  </si>
  <si>
    <t xml:space="preserve">Сумма ГУ (вне оборота)</t>
  </si>
  <si>
    <t xml:space="preserve">Ставка БГ, %/год (ориентир)</t>
  </si>
  <si>
    <t xml:space="preserve">Срок обеспечения, лет</t>
  </si>
  <si>
    <t xml:space="preserve">Стоимость БГ (комиссия банка)</t>
  </si>
  <si>
    <t xml:space="preserve">ЭФФЕКТ: высвобождение оборотки vs комиссия</t>
  </si>
  <si>
    <t xml:space="preserve">⚠ ЖЁЛТЫЕ ячейки — допущения (договора нет): ГУ 5%, ставка БГ 1,5%/год, срок 1,5 года — ориентиры по стандарту v8. После получения договора заменить фактическими. При ГОЗ (275-ФЗ) обеспечение — через уполномоченный банк, схема иная.</t>
  </si>
  <si>
    <t xml:space="preserve">ПОЗИЦИЯ ИИ-ДОГОВОРНИКА ПО ОБЕСПЕЧЕНИЮ</t>
  </si>
  <si>
    <t xml:space="preserve">БГ вместо ГУ</t>
  </si>
  <si>
    <t xml:space="preserve">ст.96 44-ФЗ прямо допускает независимую гарантию вместо денег. При наличии ГУ — письмо Заказчику о замене на БГ. Комиссия банка (≈2,9 млн при гипотезе) кратно меньше стоимости замороженной оборотки (≈6,4 млн ГУ).</t>
  </si>
  <si>
    <t xml:space="preserve">Проверка БГ</t>
  </si>
  <si>
    <t xml:space="preserve">Гарантия — строго по типовой форме (ПП №1005, попр. с 04.01.2025), банк — в перечне Минфина. Ловушка: нетиповая БГ / банк не в реестре → Заказчик не примет.</t>
  </si>
  <si>
    <t xml:space="preserve">При наличии аванса — обеспечение не меньше аванса (ст.96 44-ФЗ). Для кассового разрыва (ИИ-экономист) аванс критичен — добиваться max в переговорах.</t>
  </si>
  <si>
    <t xml:space="preserve">ГОЗ-режим</t>
  </si>
  <si>
    <t xml:space="preserve">Если ГОЗ (275-ФЗ): отдельный счёт в уполномоченном банке, банковское/казначейское сопровождение, раздельный учёт, ограничение прибыли. Радикально меняет обеспечение и cash flow.</t>
  </si>
  <si>
    <t xml:space="preserve">ТРИ КОЛОНКИ: РИСК В ТИПОВОЙ РЕДАКЦИИ → НАША РЕДАКЦИЯ → АРГУМЕНТ ДЛЯ ЗАКАЗЧИКА</t>
  </si>
  <si>
    <t xml:space="preserve">Стандарт ИИ-договорника (Часть 6.A). Готовые формулировки под протокол разногласий. Применять после получения проекта договора и сверки с фактическим текстом.</t>
  </si>
  <si>
    <t xml:space="preserve">Предмет пункта</t>
  </si>
  <si>
    <t xml:space="preserve">Типовой риск (как обычно у Заказчика)</t>
  </si>
  <si>
    <t xml:space="preserve">Наша редакция (защита)</t>
  </si>
  <si>
    <t xml:space="preserve">Аргумент для второй стороны</t>
  </si>
  <si>
    <t xml:space="preserve">Цена и НДС</t>
  </si>
  <si>
    <t xml:space="preserve">«Цена твёрдая, включая НДС 20%»</t>
  </si>
  <si>
    <t xml:space="preserve">«Цена ___ ₽, кроме того НДС по ставке, установленной законодательством на дату реализации»</t>
  </si>
  <si>
    <t xml:space="preserve">Ставка НДС 22% с 2026 — закон (ФЗ 425-ФЗ). НДС сверху убирает спор о том, кто платит 2%.</t>
  </si>
  <si>
    <t xml:space="preserve">Объём оборудования</t>
  </si>
  <si>
    <t xml:space="preserve">Молчание о поставке «железа» СОТ</t>
  </si>
  <si>
    <t xml:space="preserve">«Оборудование СОТ по спец. №__ — давальческое Заказчика, передаётся по акту; Подрядчик — монтаж и отв. хранение (ст.714)»</t>
  </si>
  <si>
    <t xml:space="preserve">В смете оборудования на 2,22 млн, а по ПД — на десятки млн. Без давальческой схемы монтаж невозможно оценить.</t>
  </si>
  <si>
    <t xml:space="preserve">Блок «вынос КС»</t>
  </si>
  <si>
    <t xml:space="preserve">«Вынос/возврат КС — в составе твёрдой цены»</t>
  </si>
  <si>
    <t xml:space="preserve">«Работы на КС 27,5 кВ под напряжением выполняет ЭЧ РЖД; в твёрдую цену Подрядчика не входят. Объём выноса — по подтверждённой РД ведомости»</t>
  </si>
  <si>
    <t xml:space="preserve">Мы не вправе работать на КС под напряжением (приказ 903н). Физически 200 км в смете vs ~17 км факт.</t>
  </si>
  <si>
    <t xml:space="preserve">«Окна» РЖД / простои</t>
  </si>
  <si>
    <t xml:space="preserve">Молчание → риск на подрядчике</t>
  </si>
  <si>
    <t xml:space="preserve">«Заказчик обеспечивает «окна» и доступ; простой не по вине Подрядчика — продление срока (ст.708) + компенсация факт. затрат»</t>
  </si>
  <si>
    <t xml:space="preserve">РЖД — третье лицо. Мы не управляем графиком движения. Простои в смете не заложены.</t>
  </si>
  <si>
    <t xml:space="preserve">Срок оплаты КС-2</t>
  </si>
  <si>
    <t xml:space="preserve">«Оплата в разумный срок / по согласованию»</t>
  </si>
  <si>
    <t xml:space="preserve">«Оплата в течение __ банковских дней с подписания КС-2 обеими сторонами; пени за просрочку 1/300 ключ. ставки ЦБ»</t>
  </si>
  <si>
    <t xml:space="preserve">Чёткий срок и пени — стандарт 44-ФЗ (ст.34). «Разумный срок» = кассовый разрыв и споры.</t>
  </si>
  <si>
    <t xml:space="preserve">Изменение объёмов</t>
  </si>
  <si>
    <t xml:space="preserve">«Доп. работы — без ДС»</t>
  </si>
  <si>
    <t xml:space="preserve">«Изменение объёма/цены — только допсоглашением (ст.95 44-ФЗ / ст.450 ГК). Оптимизация — через ПТР/РД-изменение (ст.710,744)»</t>
  </si>
  <si>
    <t xml:space="preserve">Без ДС доп. работы Заказчик вправе не оплатить (ст.743). Защищает обе стороны.</t>
  </si>
  <si>
    <t xml:space="preserve">Расторжение</t>
  </si>
  <si>
    <t xml:space="preserve">Асимметричные основания в пользу Заказчика</t>
  </si>
  <si>
    <t xml:space="preserve">«Основания одностороннего отказа — симметричные; процедура и сроки — строго по ч.8–23 ст.95 44-ФЗ»</t>
  </si>
  <si>
    <t xml:space="preserve">Асимметрия оспорима. Симметрия = устойчивость договора и защита от РНП.</t>
  </si>
  <si>
    <t xml:space="preserve">Гарантийный срок</t>
  </si>
  <si>
    <t xml:space="preserve">«Гарантия 5 лет на всё»</t>
  </si>
  <si>
    <t xml:space="preserve">«Гарантийный срок — __ (по контракту); на давальческое оборудование гарантия — поставщика/Заказчика, не Подрядчика»</t>
  </si>
  <si>
    <t xml:space="preserve">Мы не отвечаем за качество чужого оборудования — только за монтаж (ст.722,723).</t>
  </si>
  <si>
    <t xml:space="preserve">⚠ Формулировки — заготовки под ТИПОВЫЕ риски. Финальная редакция — только после получения проекта договора и построчной сверки (Протокол 1: полный документ). Решение о протоколе разногласий — ИИ-руководитель проекта.</t>
  </si>
  <si>
    <t xml:space="preserve">PRE-MORTEM + ПРЕТЕНЗИОННАЯ ГОТОВНОСТЬ</t>
  </si>
  <si>
    <t xml:space="preserve">Стандарт ИИ-договорника: «Представь — Заказчик не платит 90 дней. Почему? 5 договорных причин». Защита закладывается ДО подписания.</t>
  </si>
  <si>
    <t xml:space="preserve">PRE-MORTEM: 5 договорных причин неоплаты + предохранитель</t>
  </si>
  <si>
    <t xml:space="preserve">Причина неоплаты</t>
  </si>
  <si>
    <t xml:space="preserve">Предохранитель в договоре</t>
  </si>
  <si>
    <t xml:space="preserve">Нет чёткого срока оплаты («разумный срок»)</t>
  </si>
  <si>
    <t xml:space="preserve">Фиксировать: __ банк. дней с подписания КС-2 обеими сторонами</t>
  </si>
  <si>
    <t xml:space="preserve">Нет пени за просрочку Заказчика</t>
  </si>
  <si>
    <t xml:space="preserve">Пени 1/300 ключ. ставки ЦБ/день (симметрично ст.34 44-ФЗ)</t>
  </si>
  <si>
    <t xml:space="preserve">Заказчик придирается к КС-2 (объёмы/ИД)</t>
  </si>
  <si>
    <t xml:space="preserve">Порядок и срок рассмотрения КС-2; мотивированный отказ (ст.753); односторонний акт при необоснованном отказе</t>
  </si>
  <si>
    <t xml:space="preserve">Спор о блоке КС / объёме оборудования</t>
  </si>
  <si>
    <t xml:space="preserve">Разграничить объём ДО подписания (листы 03,05); не включать невыполнимое в КС-2</t>
  </si>
  <si>
    <t xml:space="preserve">Нет претензионного срока → затяжка</t>
  </si>
  <si>
    <t xml:space="preserve">Претензионный порядок и срок ответа в договоре (АПК ст.4: 30 дней)</t>
  </si>
  <si>
    <t xml:space="preserve">ПРЕТЕНЗИОННЫЙ ПОРЯДОК И КЛЮЧЕВЫЕ СРОКИ (передать ИИ-администратору в реестр)</t>
  </si>
  <si>
    <t xml:space="preserve">Норма / срок / действие</t>
  </si>
  <si>
    <t xml:space="preserve">Претензионный (досудебный) порядок</t>
  </si>
  <si>
    <t xml:space="preserve">ст.4 АПК: как правило 30 календ. дней до иска. Претензия — с расчётом в рублях</t>
  </si>
  <si>
    <t xml:space="preserve">Исковая давность</t>
  </si>
  <si>
    <t xml:space="preserve">общая 3 года (ст.196,200 ГК); течёт с момента, когда узнали о нарушении</t>
  </si>
  <si>
    <t xml:space="preserve">Срок ответа на КС-2</t>
  </si>
  <si>
    <t xml:space="preserve">прописать в договоре; при отсутствии — риск затяжки. Односторонний акт (ст.753)</t>
  </si>
  <si>
    <t xml:space="preserve">Реестр договорных рисков</t>
  </si>
  <si>
    <t xml:space="preserve">обновляется еженедельно; каждый риск &gt;500 тыс — в рублях (лист 02)</t>
  </si>
  <si>
    <t xml:space="preserve">Триггеры алерта ИИ-руководителю проекта</t>
  </si>
  <si>
    <t xml:space="preserve">неоплата КС-2 &gt;45 дн → претензия+пени за 48ч; входящая претензия → алерт за 2ч</t>
  </si>
  <si>
    <t xml:space="preserve">ТРИ ВАРИАНТА СТРУКТУРЫ ДОГОВОРА — МАТРИЦА 1–5 (решение за ИИ-руководителем проекта)</t>
  </si>
  <si>
    <t xml:space="preserve">Принцип 3 (Урок ИИ-руководителя проекта): один вариант — не выбор. Критерии 1–5 (5 — лучше). Рекомендация — явно.</t>
  </si>
  <si>
    <t xml:space="preserve">Вариант</t>
  </si>
  <si>
    <t xml:space="preserve">Суть</t>
  </si>
  <si>
    <t xml:space="preserve">Правовой риск</t>
  </si>
  <si>
    <t xml:space="preserve">Деньги (маржа)</t>
  </si>
  <si>
    <t xml:space="preserve">Отношения с Заказчиком</t>
  </si>
  <si>
    <t xml:space="preserve">Реализуемость</t>
  </si>
  <si>
    <t xml:space="preserve">Σ / ранг</t>
  </si>
  <si>
    <t xml:space="preserve">А. Твёрдая цена на весь объём (128 млн, как в смете)</t>
  </si>
  <si>
    <t xml:space="preserve">Блок КС и оборудование — «наши», без давальческой схемы</t>
  </si>
  <si>
    <t xml:space="preserve">Б. Реальный фронт ~37 млн + давальческое + КС исключён</t>
  </si>
  <si>
    <t xml:space="preserve">Сценарий Б: блок КС снят/передан, оборудование давальческое, аттестация уточнена</t>
  </si>
  <si>
    <t xml:space="preserve">В. Смешанный: реальный фронт тверд. + КС отд. этапом «по факту»</t>
  </si>
  <si>
    <t xml:space="preserve">Блок КС — приблизит. цена (ст.709), с привлечением ЭЧ РЖД</t>
  </si>
  <si>
    <t xml:space="preserve">ЛЕГЕНДА КРИТЕРИЕВ</t>
  </si>
  <si>
    <t xml:space="preserve">Правовой риск: 5 = минимум (чистое разграничение), 1 = максимум (фиктивные акты, ст.159 УК).</t>
  </si>
  <si>
    <t xml:space="preserve">Деньги: 5 = маржа в целевой зоне 8–9%+, 1 = убыток. Источник — финрезультат ИИ-сметчика.</t>
  </si>
  <si>
    <t xml:space="preserve">Отношения с Заказчиком: 5 = мягкий заход, 1 = жёсткий конфликт.</t>
  </si>
  <si>
    <t xml:space="preserve">Реализуемость: 5 = исполнимо нашими силами, 1 = физически невозможно (работа на КС).</t>
  </si>
  <si>
    <t xml:space="preserve">РЕКОМЕНДАЦИЯ ИИ-ДОГОВОРНИКА: Вариант Б (Σ=19). Единственный, где договор чистый, маржа положительная (+5,67 млн / 14,4%) и работы исполнимы. Вариант А (Σ=6) — подписанный убыток + уголовный риск, отклонить. Вариант В (Σ=13) — запасной, если Заказчик держит блок КС. Решение — ИИ-руководитель проекта.</t>
  </si>
  <si>
    <t xml:space="preserve">ПЕРЕДАЧИ СМЕЖНИКАМ КОМАНДЕ + ПРАВОВОЙ АЛЕРТ ИИ-РУКОВОДИТЕЛЮ ПРОЕКТА</t>
  </si>
  <si>
    <t xml:space="preserve">Порядок ИИ-руководителя проекта: … → ИИ-договорник → ИИ-экономист → ИИ-администратор → возврат. Точка входа/синтеза — ИИ-руководитель проекта. Конвейер v8.2.</t>
  </si>
  <si>
    <t xml:space="preserve">🚨 ПРАВОВОЙ АЛЕРТ · 03.08.2026 · Ситуация: договор не получен, Заказчик/режим не установлены, объём не разграничен (до 117,8 млн спорного), блок КС 64,71 млн незакрываем на КС-2, НДС-разрыв 2,14 млн. Денежный риск: при сценарии В маржа −5,33 млн. Наша позиция: сильная при условии разграничения объёма ДО подписания. Прошу решение ИИ-руководителя проекта: заходить по Варианту Б (лист 10).</t>
  </si>
  <si>
    <t xml:space="preserve">Кому</t>
  </si>
  <si>
    <t xml:space="preserve">Что несу / задача</t>
  </si>
  <si>
    <t xml:space="preserve">Приоритет</t>
  </si>
  <si>
    <t xml:space="preserve">→ ИИ-РУКОВОДИТЕЛЮ ПРОЕКТА (РП)</t>
  </si>
  <si>
    <t xml:space="preserve">Правовой щит готов. 3 красных флага оцифрованы: объём (лист 03), блок КС (лист 05), НДС (лист 04). Рекомендую Вариант Б структуры договора (лист 10). Нужно решение + поручение вырвать проект договора и установить Заказчика/режим.</t>
  </si>
  <si>
    <t xml:space="preserve">КРИТ</t>
  </si>
  <si>
    <t xml:space="preserve">→ ИИ-ЭКОНОМИСТУ (Эконом)</t>
  </si>
  <si>
    <t xml:space="preserve">В себестоимость/финмодель: НДС-разрыв 2,14 млн (при цене «с НДС»); производство ИД 1,3–1,8 млн; простои РЖД 6–8 млн; двойной ПНР 0,89 млн (снять). ⚠ ГЛАВНОЕ: если ГОЗ (275-ФЗ) — потолок рентабельности «1%+20%», раздельный учёт, уполномоченный банк — пересчитать всю маржу.</t>
  </si>
  <si>
    <t xml:space="preserve">→ ИИ-СМЕТЧИКУ (Сметчик)</t>
  </si>
  <si>
    <t xml:space="preserve">Нужен пересчёт объёма выноса КС по РД (правовое основание запроса — моё). Реиндекс 2025→2026. Снять двойной ПНР 0,89 млн. Металл опор — в какой строке (СМР/материалы), для разграничения объёма.</t>
  </si>
  <si>
    <t xml:space="preserve">ВЫСОКИЙ</t>
  </si>
  <si>
    <t xml:space="preserve">→ ИИ-СНАБЖЕНЦУ (Закуп)</t>
  </si>
  <si>
    <t xml:space="preserve">Закрепляю: «железо» СОТ — давальческое (акты приёма-передачи, ст.713/714). Нужен перечень-спецификация оборудования Заказчика для приложения к договору. Металл опор и ТП — чья поставка.</t>
  </si>
  <si>
    <t xml:space="preserve">→ ИИ-ПОДРЯДЧИКУ (Подряд)</t>
  </si>
  <si>
    <t xml:space="preserve">Работы на КС — только ЭЧ РЖД, в наш объём не входят (лист 05, S-3). Лицензии ФСБ/ФСТЭК подрядчика СОТ — обязательное условие договора субподряда, копии в приложение. Back-to-back риски простоя РЖД.</t>
  </si>
  <si>
    <t xml:space="preserve">→ ИИ-ПТО (ПТО)</t>
  </si>
  <si>
    <t xml:space="preserve">Требования к ИД — в договор (приказ 344/пр, ГОСТ Р 70108-2025 эл.ИД). Аттестация ФСТЭК — уточнить объём (наш/Заказчика), от этого формулировка. Блок КС держим под контролем — не актировать.</t>
  </si>
  <si>
    <t xml:space="preserve">СРЕДНИЙ</t>
  </si>
  <si>
    <t xml:space="preserve">→ ИИ-АДМИНИСТРАТОРУ (Админ)</t>
  </si>
  <si>
    <t xml:space="preserve">В реестр поручений: ключевые сроки (претензионный 30 дн, оплата КС-2, обеспечение). Официальные запросы Заказчику/РЖД — для регистрации исходящей (подписывает ИИ-руководитель проекта). Статус договора = 🔴 не получен.</t>
  </si>
  <si>
    <t xml:space="preserve">ИНСАЙТ · ДЕЙСТВИЕ · СЛЕДУЮЩИЙ ТАКТ</t>
  </si>
  <si>
    <t xml:space="preserve">ИНСАЙТ: Зауралье — не про цену смет, а про ОБЪЁМ и РЕЖИМ. До 117,8 млн объёма спорны, а Заказчик и режим закупки (возможно ГОЗ) не установлены. Договор без разграничения = подписанный убыток.</t>
  </si>
  <si>
    <t xml:space="preserve">ДЕЙСТВИЕ: ИИ-руководитель проекта инициирует (1) получение проекта договора, (2) официальные запросы Заказчику/проектировщику/РЖД по объёму КС и объёму оборудования, (3) установление режима закупки (ГОЗ?). ИИ-договорник готовит тексты запросов за 48ч.</t>
  </si>
  <si>
    <t xml:space="preserve">СЛЕДУЮЩИЙ ТАКТ: после ответа по объёму и режиму → ИИ-экономист собирает финмодель на Варианте Б (лист 10) → возврат ИИ-руководителю проекта с заключением 🟢/🟡/🔴 по марже.</t>
  </si>
  <si>
    <t xml:space="preserve">ИИ-договорник · СтройИнтеллект.Договорник v8.2 · 03.08.2026. «Дорогой мой, читать надо ДО подписания, а не после». Решения о претензиях, расторжении, переговорах с Заказчиком — за ИИ-руководителем проекта. ИИ-договорник готовит позицию и черновики.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</si>
</sst>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"/>
    <numFmt numFmtId="167" formatCode="0.0%"/>
    <numFmt numFmtId="168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9.5"/>
      <color rgb="FF2E5496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.5"/>
      <color rgb="FF2E5496"/>
      <name val="Arial"/>
      <family val="0"/>
      <charset val="1"/>
    </font>
    <font>
      <sz val="9"/>
      <color rgb="FF0000FF"/>
      <name val="Arial"/>
      <family val="0"/>
      <charset val="1"/>
    </font>
    <font>
      <sz val="8.5"/>
      <color rgb="FF808080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.5"/>
      <color rgb="FF548235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i val="true"/>
      <sz val="9"/>
      <color rgb="FFBF8F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8CBAD"/>
        <bgColor rgb="FFFFE699"/>
      </patternFill>
    </fill>
    <fill>
      <patternFill patternType="solid">
        <fgColor rgb="FFD6DCE5"/>
        <bgColor rgb="FFC6E0B4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6DCE5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4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4" customFormat="false" ht="45.75" hidden="false" customHeight="true" outlineLevel="0" collapsed="false">
      <c r="A4" s="3" t="s">
        <v>2</v>
      </c>
      <c r="B4" s="3"/>
      <c r="C4" s="3"/>
      <c r="D4" s="3"/>
    </row>
    <row r="6" customFormat="false" ht="19.5" hidden="false" customHeight="true" outlineLevel="0" collapsed="false">
      <c r="A6" s="4" t="s">
        <v>3</v>
      </c>
      <c r="B6" s="4"/>
      <c r="C6" s="4"/>
      <c r="D6" s="4"/>
    </row>
    <row r="7" customFormat="false" ht="57.75" hidden="false" customHeight="true" outlineLevel="0" collapsed="false">
      <c r="A7" s="5" t="s">
        <v>4</v>
      </c>
      <c r="B7" s="6" t="s">
        <v>5</v>
      </c>
      <c r="C7" s="6"/>
      <c r="D7" s="6"/>
    </row>
    <row r="8" customFormat="false" ht="57.75" hidden="false" customHeight="true" outlineLevel="0" collapsed="false">
      <c r="A8" s="5" t="s">
        <v>4</v>
      </c>
      <c r="B8" s="6" t="s">
        <v>6</v>
      </c>
      <c r="C8" s="6"/>
      <c r="D8" s="6"/>
    </row>
    <row r="9" customFormat="false" ht="57.75" hidden="false" customHeight="true" outlineLevel="0" collapsed="false">
      <c r="A9" s="5" t="s">
        <v>4</v>
      </c>
      <c r="B9" s="6" t="s">
        <v>7</v>
      </c>
      <c r="C9" s="6"/>
      <c r="D9" s="6"/>
    </row>
    <row r="10" customFormat="false" ht="57.75" hidden="false" customHeight="true" outlineLevel="0" collapsed="false">
      <c r="A10" s="7" t="s">
        <v>8</v>
      </c>
      <c r="B10" s="8" t="s">
        <v>9</v>
      </c>
      <c r="C10" s="8"/>
      <c r="D10" s="8"/>
    </row>
    <row r="12" customFormat="false" ht="19.5" hidden="false" customHeight="true" outlineLevel="0" collapsed="false">
      <c r="A12" s="4" t="s">
        <v>10</v>
      </c>
      <c r="B12" s="4"/>
      <c r="C12" s="4"/>
      <c r="D12" s="4"/>
    </row>
    <row r="13" customFormat="false" ht="30" hidden="false" customHeight="true" outlineLevel="0" collapsed="false">
      <c r="A13" s="9" t="s">
        <v>11</v>
      </c>
      <c r="B13" s="9" t="s">
        <v>12</v>
      </c>
      <c r="C13" s="9" t="s">
        <v>13</v>
      </c>
      <c r="D13" s="9" t="s">
        <v>14</v>
      </c>
    </row>
    <row r="14" customFormat="false" ht="15" hidden="false" customHeight="false" outlineLevel="0" collapsed="false">
      <c r="A14" s="10" t="s">
        <v>15</v>
      </c>
      <c r="B14" s="11" t="s">
        <v>16</v>
      </c>
      <c r="C14" s="12" t="n">
        <v>128491484</v>
      </c>
      <c r="D14" s="13" t="s">
        <v>17</v>
      </c>
    </row>
    <row r="15" customFormat="false" ht="15" hidden="false" customHeight="false" outlineLevel="0" collapsed="false">
      <c r="A15" s="10" t="s">
        <v>18</v>
      </c>
      <c r="B15" s="11" t="s">
        <v>19</v>
      </c>
      <c r="C15" s="12" t="n">
        <v>107076237</v>
      </c>
      <c r="D15" s="13" t="s">
        <v>20</v>
      </c>
    </row>
    <row r="16" customFormat="false" ht="23.85" hidden="false" customHeight="false" outlineLevel="0" collapsed="false">
      <c r="A16" s="14" t="s">
        <v>21</v>
      </c>
      <c r="B16" s="15" t="s">
        <v>22</v>
      </c>
      <c r="C16" s="16" t="n">
        <v>64710398</v>
      </c>
      <c r="D16" s="17" t="s">
        <v>23</v>
      </c>
    </row>
    <row r="17" customFormat="false" ht="23.85" hidden="false" customHeight="false" outlineLevel="0" collapsed="false">
      <c r="A17" s="14" t="s">
        <v>24</v>
      </c>
      <c r="B17" s="15" t="s">
        <v>25</v>
      </c>
      <c r="C17" s="18" t="n">
        <f aca="false">C15*0.02</f>
        <v>2141524.74</v>
      </c>
      <c r="D17" s="17" t="s">
        <v>26</v>
      </c>
    </row>
    <row r="18" customFormat="false" ht="23.85" hidden="false" customHeight="false" outlineLevel="0" collapsed="false">
      <c r="A18" s="19" t="s">
        <v>27</v>
      </c>
      <c r="B18" s="20" t="s">
        <v>28</v>
      </c>
      <c r="C18" s="21" t="n">
        <v>45600000</v>
      </c>
      <c r="D18" s="22" t="s">
        <v>29</v>
      </c>
    </row>
    <row r="19" customFormat="false" ht="15" hidden="false" customHeight="false" outlineLevel="0" collapsed="false">
      <c r="A19" s="19" t="s">
        <v>30</v>
      </c>
      <c r="B19" s="20" t="s">
        <v>31</v>
      </c>
      <c r="C19" s="21" t="n">
        <v>7540840</v>
      </c>
      <c r="D19" s="22" t="s">
        <v>32</v>
      </c>
    </row>
    <row r="20" customFormat="false" ht="15" hidden="false" customHeight="false" outlineLevel="0" collapsed="false">
      <c r="A20" s="23" t="s">
        <v>33</v>
      </c>
      <c r="B20" s="24" t="s">
        <v>34</v>
      </c>
      <c r="C20" s="25" t="n">
        <v>37153599</v>
      </c>
      <c r="D20" s="26" t="s">
        <v>35</v>
      </c>
    </row>
    <row r="21" customFormat="false" ht="23.85" hidden="false" customHeight="false" outlineLevel="0" collapsed="false">
      <c r="A21" s="19" t="s">
        <v>36</v>
      </c>
      <c r="B21" s="20" t="s">
        <v>37</v>
      </c>
      <c r="C21" s="21" t="n">
        <v>890670</v>
      </c>
      <c r="D21" s="22" t="s">
        <v>38</v>
      </c>
    </row>
    <row r="22" customFormat="false" ht="15" hidden="false" customHeight="false" outlineLevel="0" collapsed="false">
      <c r="A22" s="19" t="s">
        <v>39</v>
      </c>
      <c r="B22" s="20" t="s">
        <v>40</v>
      </c>
      <c r="C22" s="21" t="n">
        <v>1800000</v>
      </c>
      <c r="D22" s="22" t="s">
        <v>41</v>
      </c>
    </row>
    <row r="23" customFormat="false" ht="19.5" hidden="false" customHeight="true" outlineLevel="0" collapsed="false">
      <c r="A23" s="4" t="s">
        <v>42</v>
      </c>
      <c r="B23" s="4"/>
      <c r="C23" s="4"/>
      <c r="D23" s="4"/>
    </row>
    <row r="24" customFormat="false" ht="30" hidden="false" customHeight="true" outlineLevel="0" collapsed="false">
      <c r="A24" s="9" t="s">
        <v>43</v>
      </c>
      <c r="B24" s="9" t="s">
        <v>44</v>
      </c>
      <c r="C24" s="9" t="s">
        <v>45</v>
      </c>
      <c r="D24" s="9" t="s">
        <v>46</v>
      </c>
    </row>
    <row r="25" customFormat="false" ht="23.85" hidden="false" customHeight="false" outlineLevel="0" collapsed="false">
      <c r="A25" s="7" t="s">
        <v>47</v>
      </c>
      <c r="B25" s="20" t="s">
        <v>48</v>
      </c>
      <c r="C25" s="27" t="n">
        <v>5053838</v>
      </c>
      <c r="D25" s="28" t="n">
        <v>0.0486</v>
      </c>
    </row>
    <row r="26" customFormat="false" ht="23.85" hidden="false" customHeight="false" outlineLevel="0" collapsed="false">
      <c r="A26" s="29" t="s">
        <v>49</v>
      </c>
      <c r="B26" s="24" t="s">
        <v>50</v>
      </c>
      <c r="C26" s="30" t="n">
        <v>5674965</v>
      </c>
      <c r="D26" s="31" t="n">
        <v>0.1441</v>
      </c>
    </row>
    <row r="27" customFormat="false" ht="23.85" hidden="false" customHeight="false" outlineLevel="0" collapsed="false">
      <c r="A27" s="5" t="s">
        <v>51</v>
      </c>
      <c r="B27" s="15" t="s">
        <v>52</v>
      </c>
      <c r="C27" s="32" t="n">
        <v>-5325035</v>
      </c>
      <c r="D27" s="33" t="n">
        <v>-0.1352</v>
      </c>
    </row>
    <row r="28" customFormat="false" ht="39.75" hidden="false" customHeight="true" outlineLevel="0" collapsed="false">
      <c r="A28" s="34" t="s">
        <v>53</v>
      </c>
      <c r="B28" s="34"/>
      <c r="C28" s="34"/>
      <c r="D28" s="34"/>
    </row>
    <row r="30" customFormat="false" ht="19.5" hidden="false" customHeight="true" outlineLevel="0" collapsed="false">
      <c r="A30" s="4" t="s">
        <v>54</v>
      </c>
      <c r="B30" s="4"/>
      <c r="C30" s="4"/>
      <c r="D30" s="4"/>
    </row>
    <row r="31" customFormat="false" ht="79.85" hidden="false" customHeight="true" outlineLevel="0" collapsed="false">
      <c r="A31" s="35" t="s">
        <v>55</v>
      </c>
      <c r="B31" s="36" t="s">
        <v>56</v>
      </c>
      <c r="C31" s="36"/>
      <c r="D31" s="36"/>
    </row>
    <row r="32" customFormat="false" ht="91" hidden="false" customHeight="true" outlineLevel="0" collapsed="false">
      <c r="A32" s="35" t="s">
        <v>57</v>
      </c>
      <c r="B32" s="36" t="s">
        <v>58</v>
      </c>
      <c r="C32" s="36"/>
      <c r="D32" s="36"/>
    </row>
    <row r="33" customFormat="false" ht="91" hidden="false" customHeight="true" outlineLevel="0" collapsed="false">
      <c r="A33" s="35" t="s">
        <v>59</v>
      </c>
      <c r="B33" s="36" t="s">
        <v>60</v>
      </c>
      <c r="C33" s="36"/>
      <c r="D33" s="36"/>
    </row>
    <row r="34" customFormat="false" ht="68.65" hidden="false" customHeight="true" outlineLevel="0" collapsed="false">
      <c r="A34" s="35" t="s">
        <v>61</v>
      </c>
      <c r="B34" s="36" t="s">
        <v>62</v>
      </c>
      <c r="C34" s="36"/>
      <c r="D34" s="36"/>
    </row>
    <row r="35" customFormat="false" ht="79.85" hidden="false" customHeight="true" outlineLevel="0" collapsed="false">
      <c r="A35" s="35" t="s">
        <v>63</v>
      </c>
      <c r="B35" s="36" t="s">
        <v>64</v>
      </c>
      <c r="C35" s="36"/>
      <c r="D35" s="36"/>
    </row>
    <row r="36" customFormat="false" ht="68.65" hidden="false" customHeight="true" outlineLevel="0" collapsed="false">
      <c r="A36" s="35" t="s">
        <v>65</v>
      </c>
      <c r="B36" s="36" t="s">
        <v>66</v>
      </c>
      <c r="C36" s="36"/>
      <c r="D36" s="36"/>
    </row>
    <row r="37" customFormat="false" ht="79.85" hidden="false" customHeight="true" outlineLevel="0" collapsed="false">
      <c r="A37" s="35" t="s">
        <v>67</v>
      </c>
      <c r="B37" s="36" t="s">
        <v>68</v>
      </c>
      <c r="C37" s="36"/>
      <c r="D37" s="36"/>
    </row>
    <row r="38" customFormat="false" ht="79.85" hidden="false" customHeight="true" outlineLevel="0" collapsed="false">
      <c r="A38" s="35" t="s">
        <v>69</v>
      </c>
      <c r="B38" s="36" t="s">
        <v>70</v>
      </c>
      <c r="C38" s="36"/>
      <c r="D38" s="36"/>
    </row>
    <row r="39" customFormat="false" ht="68.65" hidden="false" customHeight="true" outlineLevel="0" collapsed="false">
      <c r="A39" s="35" t="s">
        <v>71</v>
      </c>
      <c r="B39" s="36" t="s">
        <v>72</v>
      </c>
      <c r="C39" s="36"/>
      <c r="D39" s="36"/>
    </row>
    <row r="40" customFormat="false" ht="57.45" hidden="false" customHeight="true" outlineLevel="0" collapsed="false">
      <c r="A40" s="35" t="s">
        <v>73</v>
      </c>
      <c r="B40" s="36" t="s">
        <v>74</v>
      </c>
      <c r="C40" s="36"/>
      <c r="D40" s="36"/>
    </row>
    <row r="41" customFormat="false" ht="68.65" hidden="false" customHeight="true" outlineLevel="0" collapsed="false">
      <c r="A41" s="35" t="s">
        <v>75</v>
      </c>
      <c r="B41" s="36" t="s">
        <v>76</v>
      </c>
      <c r="C41" s="36"/>
      <c r="D41" s="36"/>
    </row>
    <row r="43" customFormat="false" ht="33.75" hidden="false" customHeight="true" outlineLevel="0" collapsed="false">
      <c r="A43" s="37" t="s">
        <v>77</v>
      </c>
      <c r="B43" s="37"/>
      <c r="C43" s="37"/>
      <c r="D43" s="37"/>
    </row>
  </sheetData>
  <mergeCells count="24">
    <mergeCell ref="A1:D1"/>
    <mergeCell ref="A2:D2"/>
    <mergeCell ref="A4:D4"/>
    <mergeCell ref="A6:D6"/>
    <mergeCell ref="B7:D7"/>
    <mergeCell ref="B8:D8"/>
    <mergeCell ref="B9:D9"/>
    <mergeCell ref="B10:D10"/>
    <mergeCell ref="A12:D12"/>
    <mergeCell ref="A23:D23"/>
    <mergeCell ref="A28:D28"/>
    <mergeCell ref="A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6"/>
  </cols>
  <sheetData>
    <row r="1" customFormat="false" ht="25.5" hidden="false" customHeight="true" outlineLevel="0" collapsed="false">
      <c r="A1" s="1" t="s">
        <v>78</v>
      </c>
      <c r="B1" s="1"/>
    </row>
    <row r="2" customFormat="false" ht="21.75" hidden="false" customHeight="true" outlineLevel="0" collapsed="false">
      <c r="A2" s="2" t="s">
        <v>79</v>
      </c>
      <c r="B2" s="2"/>
    </row>
    <row r="3" customFormat="false" ht="19.5" hidden="false" customHeight="true" outlineLevel="0" collapsed="false">
      <c r="A3" s="4" t="s">
        <v>80</v>
      </c>
      <c r="B3" s="4"/>
    </row>
    <row r="4" customFormat="false" ht="30" hidden="false" customHeight="true" outlineLevel="0" collapsed="false">
      <c r="A4" s="38" t="s">
        <v>81</v>
      </c>
      <c r="B4" s="11" t="s">
        <v>82</v>
      </c>
    </row>
    <row r="5" customFormat="false" ht="43.5" hidden="false" customHeight="true" outlineLevel="0" collapsed="false">
      <c r="A5" s="38" t="s">
        <v>83</v>
      </c>
      <c r="B5" s="11" t="s">
        <v>84</v>
      </c>
    </row>
    <row r="6" customFormat="false" ht="43.5" hidden="false" customHeight="true" outlineLevel="0" collapsed="false">
      <c r="A6" s="38" t="s">
        <v>85</v>
      </c>
      <c r="B6" s="11" t="s">
        <v>86</v>
      </c>
    </row>
    <row r="7" customFormat="false" ht="43.5" hidden="false" customHeight="true" outlineLevel="0" collapsed="false">
      <c r="A7" s="38" t="s">
        <v>87</v>
      </c>
      <c r="B7" s="39" t="s">
        <v>88</v>
      </c>
    </row>
    <row r="8" customFormat="false" ht="43.5" hidden="false" customHeight="true" outlineLevel="0" collapsed="false">
      <c r="A8" s="38" t="s">
        <v>89</v>
      </c>
      <c r="B8" s="39" t="s">
        <v>90</v>
      </c>
    </row>
    <row r="9" customFormat="false" ht="30" hidden="false" customHeight="true" outlineLevel="0" collapsed="false">
      <c r="A9" s="38" t="s">
        <v>91</v>
      </c>
      <c r="B9" s="11" t="s">
        <v>92</v>
      </c>
    </row>
    <row r="10" customFormat="false" ht="43.5" hidden="false" customHeight="true" outlineLevel="0" collapsed="false">
      <c r="A10" s="38" t="s">
        <v>93</v>
      </c>
      <c r="B10" s="11" t="s">
        <v>94</v>
      </c>
    </row>
    <row r="11" customFormat="false" ht="19.5" hidden="false" customHeight="true" outlineLevel="0" collapsed="false">
      <c r="A11" s="4" t="s">
        <v>95</v>
      </c>
      <c r="B11" s="4"/>
    </row>
    <row r="12" customFormat="false" ht="30" hidden="false" customHeight="true" outlineLevel="0" collapsed="false">
      <c r="A12" s="38" t="s">
        <v>96</v>
      </c>
      <c r="B12" s="11" t="s">
        <v>97</v>
      </c>
    </row>
    <row r="13" customFormat="false" ht="43.5" hidden="false" customHeight="true" outlineLevel="0" collapsed="false">
      <c r="A13" s="38" t="s">
        <v>98</v>
      </c>
      <c r="B13" s="11" t="s">
        <v>99</v>
      </c>
    </row>
    <row r="14" customFormat="false" ht="43.5" hidden="false" customHeight="true" outlineLevel="0" collapsed="false">
      <c r="A14" s="38" t="s">
        <v>100</v>
      </c>
      <c r="B14" s="11" t="s">
        <v>101</v>
      </c>
    </row>
    <row r="15" customFormat="false" ht="19.5" hidden="false" customHeight="true" outlineLevel="0" collapsed="false">
      <c r="A15" s="4" t="s">
        <v>102</v>
      </c>
      <c r="B15" s="4"/>
    </row>
    <row r="16" customFormat="false" ht="43.5" hidden="false" customHeight="true" outlineLevel="0" collapsed="false">
      <c r="A16" s="38" t="s">
        <v>103</v>
      </c>
      <c r="B16" s="11" t="s">
        <v>104</v>
      </c>
    </row>
    <row r="17" customFormat="false" ht="43.5" hidden="false" customHeight="true" outlineLevel="0" collapsed="false">
      <c r="A17" s="38" t="s">
        <v>105</v>
      </c>
      <c r="B17" s="11" t="s">
        <v>106</v>
      </c>
    </row>
    <row r="18" customFormat="false" ht="43.5" hidden="false" customHeight="true" outlineLevel="0" collapsed="false">
      <c r="A18" s="38" t="s">
        <v>107</v>
      </c>
      <c r="B18" s="11" t="s">
        <v>108</v>
      </c>
    </row>
    <row r="19" customFormat="false" ht="30" hidden="false" customHeight="true" outlineLevel="0" collapsed="false">
      <c r="A19" s="38" t="s">
        <v>109</v>
      </c>
      <c r="B19" s="11" t="s">
        <v>110</v>
      </c>
    </row>
    <row r="20" customFormat="false" ht="19.5" hidden="false" customHeight="true" outlineLevel="0" collapsed="false">
      <c r="A20" s="4" t="s">
        <v>111</v>
      </c>
      <c r="B20" s="4"/>
    </row>
    <row r="21" customFormat="false" ht="30" hidden="false" customHeight="true" outlineLevel="0" collapsed="false">
      <c r="A21" s="38" t="s">
        <v>112</v>
      </c>
      <c r="B21" s="39" t="s">
        <v>113</v>
      </c>
    </row>
    <row r="22" customFormat="false" ht="43.5" hidden="false" customHeight="true" outlineLevel="0" collapsed="false">
      <c r="A22" s="38" t="s">
        <v>114</v>
      </c>
      <c r="B22" s="39" t="s">
        <v>115</v>
      </c>
    </row>
    <row r="23" customFormat="false" ht="30" hidden="false" customHeight="true" outlineLevel="0" collapsed="false">
      <c r="A23" s="38" t="s">
        <v>116</v>
      </c>
      <c r="B23" s="39" t="s">
        <v>117</v>
      </c>
    </row>
    <row r="24" customFormat="false" ht="30" hidden="false" customHeight="true" outlineLevel="0" collapsed="false">
      <c r="A24" s="38" t="s">
        <v>118</v>
      </c>
      <c r="B24" s="39" t="s">
        <v>119</v>
      </c>
    </row>
    <row r="25" customFormat="false" ht="43.5" hidden="false" customHeight="true" outlineLevel="0" collapsed="false">
      <c r="A25" s="38" t="s">
        <v>120</v>
      </c>
      <c r="B25" s="11" t="s">
        <v>121</v>
      </c>
    </row>
  </sheetData>
  <mergeCells count="6">
    <mergeCell ref="A1:B1"/>
    <mergeCell ref="A2:B2"/>
    <mergeCell ref="A3:B3"/>
    <mergeCell ref="A11:B11"/>
    <mergeCell ref="A15:B15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9" t="s">
        <v>11</v>
      </c>
      <c r="B3" s="9" t="s">
        <v>124</v>
      </c>
      <c r="C3" s="9" t="s">
        <v>125</v>
      </c>
      <c r="D3" s="9" t="s">
        <v>126</v>
      </c>
      <c r="E3" s="9" t="s">
        <v>127</v>
      </c>
      <c r="F3" s="9" t="s">
        <v>128</v>
      </c>
      <c r="G3" s="9" t="s">
        <v>129</v>
      </c>
      <c r="H3" s="9" t="s">
        <v>130</v>
      </c>
    </row>
    <row r="4" customFormat="false" ht="75.75" hidden="false" customHeight="true" outlineLevel="0" collapsed="false">
      <c r="A4" s="5" t="s">
        <v>131</v>
      </c>
      <c r="B4" s="40" t="s">
        <v>132</v>
      </c>
      <c r="C4" s="41" t="s">
        <v>133</v>
      </c>
      <c r="D4" s="42" t="s">
        <v>134</v>
      </c>
      <c r="E4" s="43" t="s">
        <v>135</v>
      </c>
      <c r="F4" s="41" t="s">
        <v>136</v>
      </c>
      <c r="G4" s="41" t="s">
        <v>137</v>
      </c>
      <c r="H4" s="44" t="s">
        <v>138</v>
      </c>
    </row>
    <row r="5" customFormat="false" ht="75.75" hidden="false" customHeight="true" outlineLevel="0" collapsed="false">
      <c r="A5" s="5" t="s">
        <v>139</v>
      </c>
      <c r="B5" s="40" t="s">
        <v>140</v>
      </c>
      <c r="C5" s="41" t="s">
        <v>141</v>
      </c>
      <c r="D5" s="42" t="s">
        <v>142</v>
      </c>
      <c r="E5" s="43" t="s">
        <v>143</v>
      </c>
      <c r="F5" s="41" t="s">
        <v>144</v>
      </c>
      <c r="G5" s="41" t="s">
        <v>145</v>
      </c>
      <c r="H5" s="44" t="s">
        <v>146</v>
      </c>
    </row>
    <row r="6" customFormat="false" ht="75.75" hidden="false" customHeight="true" outlineLevel="0" collapsed="false">
      <c r="A6" s="5" t="s">
        <v>147</v>
      </c>
      <c r="B6" s="40" t="s">
        <v>148</v>
      </c>
      <c r="C6" s="41" t="s">
        <v>149</v>
      </c>
      <c r="D6" s="42" t="s">
        <v>150</v>
      </c>
      <c r="E6" s="43" t="s">
        <v>151</v>
      </c>
      <c r="F6" s="41" t="s">
        <v>152</v>
      </c>
      <c r="G6" s="41" t="s">
        <v>153</v>
      </c>
      <c r="H6" s="44" t="s">
        <v>154</v>
      </c>
    </row>
    <row r="7" customFormat="false" ht="75.75" hidden="false" customHeight="true" outlineLevel="0" collapsed="false">
      <c r="A7" s="7" t="s">
        <v>155</v>
      </c>
      <c r="B7" s="45" t="s">
        <v>156</v>
      </c>
      <c r="C7" s="46" t="s">
        <v>157</v>
      </c>
      <c r="D7" s="47" t="s">
        <v>158</v>
      </c>
      <c r="E7" s="48" t="s">
        <v>159</v>
      </c>
      <c r="F7" s="46" t="s">
        <v>160</v>
      </c>
      <c r="G7" s="46" t="s">
        <v>161</v>
      </c>
      <c r="H7" s="49" t="s">
        <v>162</v>
      </c>
    </row>
    <row r="8" customFormat="false" ht="75.75" hidden="false" customHeight="true" outlineLevel="0" collapsed="false">
      <c r="A8" s="7" t="s">
        <v>163</v>
      </c>
      <c r="B8" s="45" t="s">
        <v>164</v>
      </c>
      <c r="C8" s="46" t="s">
        <v>165</v>
      </c>
      <c r="D8" s="47" t="s">
        <v>166</v>
      </c>
      <c r="E8" s="48" t="s">
        <v>167</v>
      </c>
      <c r="F8" s="46" t="s">
        <v>160</v>
      </c>
      <c r="G8" s="46" t="s">
        <v>168</v>
      </c>
      <c r="H8" s="49" t="s">
        <v>169</v>
      </c>
    </row>
    <row r="9" customFormat="false" ht="75.75" hidden="false" customHeight="true" outlineLevel="0" collapsed="false">
      <c r="A9" s="7" t="s">
        <v>170</v>
      </c>
      <c r="B9" s="45" t="s">
        <v>171</v>
      </c>
      <c r="C9" s="46" t="s">
        <v>172</v>
      </c>
      <c r="D9" s="47" t="s">
        <v>173</v>
      </c>
      <c r="E9" s="48" t="s">
        <v>174</v>
      </c>
      <c r="F9" s="46" t="s">
        <v>175</v>
      </c>
      <c r="G9" s="46" t="s">
        <v>176</v>
      </c>
      <c r="H9" s="49" t="s">
        <v>177</v>
      </c>
    </row>
    <row r="10" customFormat="false" ht="75.75" hidden="false" customHeight="true" outlineLevel="0" collapsed="false">
      <c r="A10" s="7" t="s">
        <v>178</v>
      </c>
      <c r="B10" s="45" t="s">
        <v>179</v>
      </c>
      <c r="C10" s="46" t="s">
        <v>180</v>
      </c>
      <c r="D10" s="47" t="s">
        <v>181</v>
      </c>
      <c r="E10" s="48" t="s">
        <v>182</v>
      </c>
      <c r="F10" s="46" t="s">
        <v>183</v>
      </c>
      <c r="G10" s="46" t="s">
        <v>184</v>
      </c>
      <c r="H10" s="49" t="s">
        <v>185</v>
      </c>
    </row>
    <row r="11" customFormat="false" ht="75.75" hidden="false" customHeight="true" outlineLevel="0" collapsed="false">
      <c r="A11" s="5" t="s">
        <v>186</v>
      </c>
      <c r="B11" s="40" t="s">
        <v>187</v>
      </c>
      <c r="C11" s="41" t="s">
        <v>188</v>
      </c>
      <c r="D11" s="42" t="s">
        <v>189</v>
      </c>
      <c r="E11" s="43" t="s">
        <v>190</v>
      </c>
      <c r="F11" s="41" t="s">
        <v>191</v>
      </c>
      <c r="G11" s="41" t="s">
        <v>192</v>
      </c>
      <c r="H11" s="44" t="s">
        <v>193</v>
      </c>
    </row>
    <row r="12" customFormat="false" ht="75.75" hidden="false" customHeight="true" outlineLevel="0" collapsed="false">
      <c r="A12" s="7" t="s">
        <v>194</v>
      </c>
      <c r="B12" s="45" t="s">
        <v>195</v>
      </c>
      <c r="C12" s="46" t="s">
        <v>196</v>
      </c>
      <c r="D12" s="47" t="s">
        <v>197</v>
      </c>
      <c r="E12" s="48" t="s">
        <v>198</v>
      </c>
      <c r="F12" s="46" t="s">
        <v>160</v>
      </c>
      <c r="G12" s="46" t="s">
        <v>199</v>
      </c>
      <c r="H12" s="49" t="s">
        <v>200</v>
      </c>
    </row>
    <row r="13" customFormat="false" ht="75.75" hidden="false" customHeight="true" outlineLevel="0" collapsed="false">
      <c r="A13" s="7" t="s">
        <v>201</v>
      </c>
      <c r="B13" s="45" t="s">
        <v>202</v>
      </c>
      <c r="C13" s="46" t="s">
        <v>203</v>
      </c>
      <c r="D13" s="47" t="s">
        <v>204</v>
      </c>
      <c r="E13" s="48" t="s">
        <v>205</v>
      </c>
      <c r="F13" s="46" t="s">
        <v>160</v>
      </c>
      <c r="G13" s="46" t="s">
        <v>206</v>
      </c>
      <c r="H13" s="49" t="s">
        <v>185</v>
      </c>
    </row>
    <row r="14" customFormat="false" ht="30" hidden="false" customHeight="true" outlineLevel="0" collapsed="false">
      <c r="A14" s="37" t="s">
        <v>207</v>
      </c>
      <c r="B14" s="37"/>
      <c r="C14" s="37"/>
      <c r="D14" s="37"/>
      <c r="E14" s="37"/>
      <c r="F14" s="37"/>
      <c r="G14" s="37"/>
      <c r="H14" s="37"/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44"/>
  </cols>
  <sheetData>
    <row r="1" customFormat="false" ht="25.5" hidden="false" customHeight="true" outlineLevel="0" collapsed="false">
      <c r="A1" s="1" t="s">
        <v>208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209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9" t="s">
        <v>11</v>
      </c>
      <c r="B3" s="9" t="s">
        <v>210</v>
      </c>
      <c r="C3" s="9" t="s">
        <v>211</v>
      </c>
      <c r="D3" s="9" t="s">
        <v>212</v>
      </c>
      <c r="E3" s="9" t="s">
        <v>213</v>
      </c>
      <c r="F3" s="9" t="s">
        <v>214</v>
      </c>
    </row>
    <row r="4" customFormat="false" ht="72" hidden="false" customHeight="true" outlineLevel="0" collapsed="false">
      <c r="A4" s="29" t="s">
        <v>215</v>
      </c>
      <c r="B4" s="50" t="s">
        <v>216</v>
      </c>
      <c r="C4" s="51" t="s">
        <v>217</v>
      </c>
      <c r="D4" s="52" t="s">
        <v>218</v>
      </c>
      <c r="E4" s="53" t="s">
        <v>219</v>
      </c>
      <c r="F4" s="52" t="s">
        <v>220</v>
      </c>
    </row>
    <row r="5" customFormat="false" ht="72" hidden="false" customHeight="true" outlineLevel="0" collapsed="false">
      <c r="A5" s="7" t="s">
        <v>221</v>
      </c>
      <c r="B5" s="45" t="s">
        <v>222</v>
      </c>
      <c r="C5" s="48" t="s">
        <v>223</v>
      </c>
      <c r="D5" s="46" t="s">
        <v>224</v>
      </c>
      <c r="E5" s="47" t="s">
        <v>225</v>
      </c>
      <c r="F5" s="46" t="s">
        <v>226</v>
      </c>
    </row>
    <row r="6" customFormat="false" ht="72" hidden="false" customHeight="true" outlineLevel="0" collapsed="false">
      <c r="A6" s="5" t="s">
        <v>227</v>
      </c>
      <c r="B6" s="40" t="s">
        <v>228</v>
      </c>
      <c r="C6" s="43" t="s">
        <v>229</v>
      </c>
      <c r="D6" s="41" t="s">
        <v>230</v>
      </c>
      <c r="E6" s="42" t="s">
        <v>231</v>
      </c>
      <c r="F6" s="41" t="s">
        <v>232</v>
      </c>
    </row>
    <row r="7" customFormat="false" ht="72" hidden="false" customHeight="true" outlineLevel="0" collapsed="false">
      <c r="A7" s="7" t="s">
        <v>233</v>
      </c>
      <c r="B7" s="45" t="s">
        <v>234</v>
      </c>
      <c r="C7" s="48" t="s">
        <v>235</v>
      </c>
      <c r="D7" s="46" t="s">
        <v>236</v>
      </c>
      <c r="E7" s="47" t="s">
        <v>237</v>
      </c>
      <c r="F7" s="46" t="s">
        <v>238</v>
      </c>
    </row>
    <row r="8" customFormat="false" ht="72" hidden="false" customHeight="true" outlineLevel="0" collapsed="false">
      <c r="A8" s="7" t="s">
        <v>239</v>
      </c>
      <c r="B8" s="45" t="s">
        <v>240</v>
      </c>
      <c r="C8" s="48" t="s">
        <v>241</v>
      </c>
      <c r="D8" s="46" t="s">
        <v>242</v>
      </c>
      <c r="E8" s="47" t="s">
        <v>243</v>
      </c>
      <c r="F8" s="46" t="s">
        <v>244</v>
      </c>
    </row>
    <row r="10" customFormat="false" ht="19.5" hidden="false" customHeight="true" outlineLevel="0" collapsed="false">
      <c r="A10" s="4" t="s">
        <v>245</v>
      </c>
      <c r="B10" s="4"/>
      <c r="C10" s="4"/>
      <c r="D10" s="4"/>
      <c r="E10" s="4"/>
      <c r="F10" s="4"/>
    </row>
    <row r="11" customFormat="false" ht="43.5" hidden="false" customHeight="true" outlineLevel="0" collapsed="false">
      <c r="A11" s="54" t="s">
        <v>246</v>
      </c>
      <c r="B11" s="54"/>
      <c r="C11" s="54"/>
      <c r="D11" s="54"/>
      <c r="E11" s="54"/>
      <c r="F11" s="54"/>
    </row>
  </sheetData>
  <mergeCells count="4">
    <mergeCell ref="A1:F1"/>
    <mergeCell ref="A2:F2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247</v>
      </c>
      <c r="B1" s="1"/>
      <c r="C1" s="1"/>
    </row>
    <row r="2" customFormat="false" ht="21.75" hidden="false" customHeight="true" outlineLevel="0" collapsed="false">
      <c r="A2" s="2" t="s">
        <v>248</v>
      </c>
      <c r="B2" s="2"/>
      <c r="C2" s="2"/>
    </row>
    <row r="3" customFormat="false" ht="19.5" hidden="false" customHeight="true" outlineLevel="0" collapsed="false">
      <c r="A3" s="4" t="s">
        <v>249</v>
      </c>
      <c r="B3" s="4"/>
      <c r="C3" s="4"/>
    </row>
    <row r="4" customFormat="false" ht="30" hidden="false" customHeight="true" outlineLevel="0" collapsed="false">
      <c r="A4" s="9" t="s">
        <v>250</v>
      </c>
      <c r="B4" s="9" t="s">
        <v>251</v>
      </c>
      <c r="C4" s="9" t="s">
        <v>252</v>
      </c>
    </row>
    <row r="5" customFormat="false" ht="15" hidden="false" customHeight="false" outlineLevel="0" collapsed="false">
      <c r="A5" s="11" t="s">
        <v>253</v>
      </c>
      <c r="B5" s="12" t="n">
        <v>107076237</v>
      </c>
      <c r="C5" s="13" t="s">
        <v>254</v>
      </c>
    </row>
    <row r="6" customFormat="false" ht="15" hidden="false" customHeight="false" outlineLevel="0" collapsed="false">
      <c r="A6" s="11" t="s">
        <v>255</v>
      </c>
      <c r="B6" s="55" t="n">
        <f aca="false">B5*0.2</f>
        <v>21415247.4</v>
      </c>
      <c r="C6" s="13" t="s">
        <v>256</v>
      </c>
    </row>
    <row r="7" customFormat="false" ht="15" hidden="false" customHeight="false" outlineLevel="0" collapsed="false">
      <c r="A7" s="11" t="s">
        <v>257</v>
      </c>
      <c r="B7" s="55" t="n">
        <f aca="false">B5*0.22</f>
        <v>23556772.14</v>
      </c>
      <c r="C7" s="13" t="s">
        <v>258</v>
      </c>
    </row>
    <row r="8" customFormat="false" ht="15" hidden="false" customHeight="false" outlineLevel="0" collapsed="false">
      <c r="A8" s="56" t="s">
        <v>259</v>
      </c>
      <c r="B8" s="57" t="n">
        <f aca="false">B5*0.02</f>
        <v>2141524.74</v>
      </c>
      <c r="C8" s="13" t="s">
        <v>260</v>
      </c>
    </row>
    <row r="10" customFormat="false" ht="19.5" hidden="false" customHeight="true" outlineLevel="0" collapsed="false">
      <c r="A10" s="4" t="s">
        <v>261</v>
      </c>
      <c r="B10" s="4"/>
      <c r="C10" s="4"/>
    </row>
    <row r="11" customFormat="false" ht="30" hidden="false" customHeight="true" outlineLevel="0" collapsed="false">
      <c r="A11" s="9" t="s">
        <v>262</v>
      </c>
      <c r="B11" s="9" t="s">
        <v>263</v>
      </c>
      <c r="C11" s="9" t="s">
        <v>264</v>
      </c>
    </row>
    <row r="12" customFormat="false" ht="51.75" hidden="false" customHeight="true" outlineLevel="0" collapsed="false">
      <c r="A12" s="24" t="s">
        <v>265</v>
      </c>
      <c r="B12" s="58" t="s">
        <v>266</v>
      </c>
      <c r="C12" s="52" t="s">
        <v>267</v>
      </c>
    </row>
    <row r="13" customFormat="false" ht="51.75" hidden="false" customHeight="true" outlineLevel="0" collapsed="false">
      <c r="A13" s="20" t="s">
        <v>268</v>
      </c>
      <c r="B13" s="59" t="s">
        <v>269</v>
      </c>
      <c r="C13" s="46" t="s">
        <v>270</v>
      </c>
    </row>
    <row r="14" customFormat="false" ht="51.75" hidden="false" customHeight="true" outlineLevel="0" collapsed="false">
      <c r="A14" s="15" t="s">
        <v>271</v>
      </c>
      <c r="B14" s="60" t="s">
        <v>272</v>
      </c>
      <c r="C14" s="41" t="s">
        <v>273</v>
      </c>
    </row>
    <row r="16" customFormat="false" ht="39.75" hidden="false" customHeight="true" outlineLevel="0" collapsed="false">
      <c r="A16" s="61" t="s">
        <v>274</v>
      </c>
      <c r="B16" s="61"/>
      <c r="C16" s="61"/>
    </row>
  </sheetData>
  <mergeCells count="5">
    <mergeCell ref="A1:C1"/>
    <mergeCell ref="A2:C2"/>
    <mergeCell ref="A3:C3"/>
    <mergeCell ref="A10:C10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4"/>
  </cols>
  <sheetData>
    <row r="1" customFormat="false" ht="25.5" hidden="false" customHeight="true" outlineLevel="0" collapsed="false">
      <c r="A1" s="1" t="s">
        <v>275</v>
      </c>
      <c r="B1" s="1"/>
    </row>
    <row r="2" customFormat="false" ht="21.75" hidden="false" customHeight="true" outlineLevel="0" collapsed="false">
      <c r="A2" s="2" t="s">
        <v>276</v>
      </c>
      <c r="B2" s="2"/>
    </row>
    <row r="3" customFormat="false" ht="51.75" hidden="false" customHeight="true" outlineLevel="0" collapsed="false">
      <c r="A3" s="62" t="s">
        <v>277</v>
      </c>
      <c r="B3" s="62"/>
    </row>
    <row r="5" customFormat="false" ht="19.5" hidden="false" customHeight="true" outlineLevel="0" collapsed="false">
      <c r="A5" s="4" t="s">
        <v>278</v>
      </c>
      <c r="B5" s="4"/>
    </row>
    <row r="6" customFormat="false" ht="39.75" hidden="false" customHeight="true" outlineLevel="0" collapsed="false">
      <c r="A6" s="63" t="s">
        <v>279</v>
      </c>
      <c r="B6" s="11" t="s">
        <v>280</v>
      </c>
    </row>
    <row r="7" customFormat="false" ht="39.75" hidden="false" customHeight="true" outlineLevel="0" collapsed="false">
      <c r="A7" s="63" t="s">
        <v>281</v>
      </c>
      <c r="B7" s="11" t="s">
        <v>282</v>
      </c>
    </row>
    <row r="8" customFormat="false" ht="39.75" hidden="false" customHeight="true" outlineLevel="0" collapsed="false">
      <c r="A8" s="63" t="s">
        <v>283</v>
      </c>
      <c r="B8" s="11" t="s">
        <v>284</v>
      </c>
    </row>
    <row r="9" customFormat="false" ht="39.75" hidden="false" customHeight="true" outlineLevel="0" collapsed="false">
      <c r="A9" s="63" t="s">
        <v>285</v>
      </c>
      <c r="B9" s="11" t="s">
        <v>286</v>
      </c>
    </row>
    <row r="11" customFormat="false" ht="19.5" hidden="false" customHeight="true" outlineLevel="0" collapsed="false">
      <c r="A11" s="4" t="s">
        <v>287</v>
      </c>
      <c r="B11" s="4"/>
    </row>
    <row r="12" customFormat="false" ht="54" hidden="false" customHeight="true" outlineLevel="0" collapsed="false">
      <c r="A12" s="50" t="s">
        <v>288</v>
      </c>
      <c r="B12" s="24" t="s">
        <v>289</v>
      </c>
    </row>
    <row r="13" customFormat="false" ht="54" hidden="false" customHeight="true" outlineLevel="0" collapsed="false">
      <c r="A13" s="50" t="s">
        <v>290</v>
      </c>
      <c r="B13" s="24" t="s">
        <v>291</v>
      </c>
    </row>
    <row r="14" customFormat="false" ht="54" hidden="false" customHeight="true" outlineLevel="0" collapsed="false">
      <c r="A14" s="45" t="s">
        <v>292</v>
      </c>
      <c r="B14" s="20" t="s">
        <v>293</v>
      </c>
    </row>
    <row r="16" customFormat="false" ht="39.75" hidden="false" customHeight="true" outlineLevel="0" collapsed="false">
      <c r="A16" s="64" t="s">
        <v>294</v>
      </c>
      <c r="B16" s="64"/>
    </row>
  </sheetData>
  <mergeCells count="6">
    <mergeCell ref="A1:B1"/>
    <mergeCell ref="A2:B2"/>
    <mergeCell ref="A3:B3"/>
    <mergeCell ref="A5:B5"/>
    <mergeCell ref="A11:B11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6"/>
  </cols>
  <sheetData>
    <row r="1" customFormat="false" ht="25.5" hidden="false" customHeight="true" outlineLevel="0" collapsed="false">
      <c r="A1" s="1" t="s">
        <v>295</v>
      </c>
      <c r="B1" s="1"/>
      <c r="C1" s="1"/>
    </row>
    <row r="2" customFormat="false" ht="21.75" hidden="false" customHeight="true" outlineLevel="0" collapsed="false">
      <c r="A2" s="2" t="s">
        <v>296</v>
      </c>
      <c r="B2" s="2"/>
      <c r="C2" s="2"/>
    </row>
    <row r="3" customFormat="false" ht="30" hidden="false" customHeight="true" outlineLevel="0" collapsed="false">
      <c r="A3" s="9" t="s">
        <v>297</v>
      </c>
      <c r="B3" s="9" t="s">
        <v>298</v>
      </c>
      <c r="C3" s="9" t="s">
        <v>299</v>
      </c>
    </row>
    <row r="4" customFormat="false" ht="75.75" hidden="false" customHeight="true" outlineLevel="0" collapsed="false">
      <c r="A4" s="63" t="s">
        <v>300</v>
      </c>
      <c r="B4" s="65" t="s">
        <v>301</v>
      </c>
      <c r="C4" s="52" t="s">
        <v>302</v>
      </c>
    </row>
    <row r="5" customFormat="false" ht="75.75" hidden="false" customHeight="true" outlineLevel="0" collapsed="false">
      <c r="A5" s="63" t="s">
        <v>303</v>
      </c>
      <c r="B5" s="65" t="s">
        <v>304</v>
      </c>
      <c r="C5" s="52" t="s">
        <v>305</v>
      </c>
    </row>
    <row r="6" customFormat="false" ht="75.75" hidden="false" customHeight="true" outlineLevel="0" collapsed="false">
      <c r="A6" s="63" t="s">
        <v>306</v>
      </c>
      <c r="B6" s="65" t="s">
        <v>307</v>
      </c>
      <c r="C6" s="52" t="s">
        <v>308</v>
      </c>
    </row>
    <row r="7" customFormat="false" ht="75.75" hidden="false" customHeight="true" outlineLevel="0" collapsed="false">
      <c r="A7" s="63" t="s">
        <v>309</v>
      </c>
      <c r="B7" s="65" t="s">
        <v>310</v>
      </c>
      <c r="C7" s="52" t="s">
        <v>311</v>
      </c>
    </row>
    <row r="8" customFormat="false" ht="75.75" hidden="false" customHeight="true" outlineLevel="0" collapsed="false">
      <c r="A8" s="63" t="s">
        <v>312</v>
      </c>
      <c r="B8" s="65" t="s">
        <v>313</v>
      </c>
      <c r="C8" s="52" t="s">
        <v>314</v>
      </c>
    </row>
    <row r="10" customFormat="false" ht="39.75" hidden="false" customHeight="true" outlineLevel="0" collapsed="false">
      <c r="A10" s="66" t="s">
        <v>315</v>
      </c>
      <c r="B10" s="66"/>
      <c r="C10" s="66"/>
    </row>
  </sheetData>
  <mergeCells count="3">
    <mergeCell ref="A1:C1"/>
    <mergeCell ref="A2:C2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4"/>
  </cols>
  <sheetData>
    <row r="1" customFormat="false" ht="25.5" hidden="false" customHeight="true" outlineLevel="0" collapsed="false">
      <c r="A1" s="1" t="s">
        <v>316</v>
      </c>
      <c r="B1" s="1"/>
      <c r="C1" s="1"/>
    </row>
    <row r="2" customFormat="false" ht="21.75" hidden="false" customHeight="true" outlineLevel="0" collapsed="false">
      <c r="A2" s="2" t="s">
        <v>317</v>
      </c>
      <c r="B2" s="2"/>
      <c r="C2" s="2"/>
    </row>
    <row r="3" customFormat="false" ht="19.5" hidden="false" customHeight="true" outlineLevel="0" collapsed="false">
      <c r="A3" s="4" t="s">
        <v>318</v>
      </c>
      <c r="B3" s="4"/>
      <c r="C3" s="4"/>
    </row>
    <row r="4" customFormat="false" ht="30" hidden="false" customHeight="true" outlineLevel="0" collapsed="false">
      <c r="A4" s="9" t="s">
        <v>319</v>
      </c>
      <c r="B4" s="9" t="s">
        <v>320</v>
      </c>
      <c r="C4" s="9" t="s">
        <v>321</v>
      </c>
    </row>
    <row r="5" customFormat="false" ht="15" hidden="false" customHeight="false" outlineLevel="0" collapsed="false">
      <c r="A5" s="11" t="s">
        <v>322</v>
      </c>
      <c r="B5" s="12" t="n">
        <v>128491484</v>
      </c>
      <c r="C5" s="13" t="s">
        <v>323</v>
      </c>
    </row>
    <row r="6" customFormat="false" ht="23.85" hidden="false" customHeight="false" outlineLevel="0" collapsed="false">
      <c r="A6" s="11" t="s">
        <v>324</v>
      </c>
      <c r="B6" s="67" t="n">
        <v>0.05</v>
      </c>
    </row>
    <row r="7" customFormat="false" ht="15" hidden="false" customHeight="false" outlineLevel="0" collapsed="false">
      <c r="A7" s="11" t="s">
        <v>325</v>
      </c>
      <c r="B7" s="68" t="n">
        <f aca="false">B5*B6</f>
        <v>6424574.2</v>
      </c>
    </row>
    <row r="8" customFormat="false" ht="15" hidden="false" customHeight="false" outlineLevel="0" collapsed="false">
      <c r="A8" s="11" t="s">
        <v>326</v>
      </c>
      <c r="B8" s="67" t="n">
        <v>0.015</v>
      </c>
    </row>
    <row r="9" customFormat="false" ht="15" hidden="false" customHeight="false" outlineLevel="0" collapsed="false">
      <c r="A9" s="11" t="s">
        <v>327</v>
      </c>
      <c r="B9" s="69" t="n">
        <v>1.5</v>
      </c>
    </row>
    <row r="10" customFormat="false" ht="15" hidden="false" customHeight="false" outlineLevel="0" collapsed="false">
      <c r="A10" s="56" t="s">
        <v>328</v>
      </c>
      <c r="B10" s="70" t="n">
        <f aca="false">B5*B8*B9</f>
        <v>2891058.39</v>
      </c>
    </row>
    <row r="11" customFormat="false" ht="23.85" hidden="false" customHeight="false" outlineLevel="0" collapsed="false">
      <c r="A11" s="56" t="s">
        <v>329</v>
      </c>
      <c r="B11" s="70" t="n">
        <f aca="false">B7-B10</f>
        <v>3533515.81</v>
      </c>
    </row>
    <row r="13" customFormat="false" ht="39.75" hidden="false" customHeight="true" outlineLevel="0" collapsed="false">
      <c r="A13" s="71" t="s">
        <v>330</v>
      </c>
      <c r="B13" s="71"/>
      <c r="C13" s="71"/>
    </row>
    <row r="15" customFormat="false" ht="19.5" hidden="false" customHeight="true" outlineLevel="0" collapsed="false">
      <c r="A15" s="4" t="s">
        <v>331</v>
      </c>
      <c r="B15" s="4"/>
      <c r="C15" s="4"/>
    </row>
    <row r="16" customFormat="false" ht="48" hidden="false" customHeight="true" outlineLevel="0" collapsed="false">
      <c r="A16" s="63" t="s">
        <v>332</v>
      </c>
      <c r="B16" s="36" t="s">
        <v>333</v>
      </c>
      <c r="C16" s="36"/>
    </row>
    <row r="17" customFormat="false" ht="48" hidden="false" customHeight="true" outlineLevel="0" collapsed="false">
      <c r="A17" s="63" t="s">
        <v>334</v>
      </c>
      <c r="B17" s="36" t="s">
        <v>335</v>
      </c>
      <c r="C17" s="36"/>
    </row>
    <row r="18" customFormat="false" ht="48" hidden="false" customHeight="true" outlineLevel="0" collapsed="false">
      <c r="A18" s="63" t="s">
        <v>112</v>
      </c>
      <c r="B18" s="36" t="s">
        <v>336</v>
      </c>
      <c r="C18" s="36"/>
    </row>
    <row r="19" customFormat="false" ht="48" hidden="false" customHeight="true" outlineLevel="0" collapsed="false">
      <c r="A19" s="63" t="s">
        <v>337</v>
      </c>
      <c r="B19" s="36" t="s">
        <v>338</v>
      </c>
      <c r="C19" s="36"/>
    </row>
  </sheetData>
  <mergeCells count="9">
    <mergeCell ref="A1:C1"/>
    <mergeCell ref="A2:C2"/>
    <mergeCell ref="A3:C3"/>
    <mergeCell ref="A13:C13"/>
    <mergeCell ref="A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4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339</v>
      </c>
      <c r="B1" s="1"/>
      <c r="C1" s="1"/>
      <c r="D1" s="1"/>
    </row>
    <row r="2" customFormat="false" ht="21.75" hidden="false" customHeight="true" outlineLevel="0" collapsed="false">
      <c r="A2" s="2" t="s">
        <v>340</v>
      </c>
      <c r="B2" s="2"/>
      <c r="C2" s="2"/>
      <c r="D2" s="2"/>
    </row>
    <row r="3" customFormat="false" ht="30" hidden="false" customHeight="true" outlineLevel="0" collapsed="false">
      <c r="A3" s="9" t="s">
        <v>341</v>
      </c>
      <c r="B3" s="9" t="s">
        <v>342</v>
      </c>
      <c r="C3" s="9" t="s">
        <v>343</v>
      </c>
      <c r="D3" s="9" t="s">
        <v>344</v>
      </c>
    </row>
    <row r="4" customFormat="false" ht="63.75" hidden="false" customHeight="true" outlineLevel="0" collapsed="false">
      <c r="A4" s="63" t="s">
        <v>345</v>
      </c>
      <c r="B4" s="41" t="s">
        <v>346</v>
      </c>
      <c r="C4" s="52" t="s">
        <v>347</v>
      </c>
      <c r="D4" s="65" t="s">
        <v>348</v>
      </c>
    </row>
    <row r="5" customFormat="false" ht="63.75" hidden="false" customHeight="true" outlineLevel="0" collapsed="false">
      <c r="A5" s="63" t="s">
        <v>349</v>
      </c>
      <c r="B5" s="41" t="s">
        <v>350</v>
      </c>
      <c r="C5" s="52" t="s">
        <v>351</v>
      </c>
      <c r="D5" s="65" t="s">
        <v>352</v>
      </c>
    </row>
    <row r="6" customFormat="false" ht="63.75" hidden="false" customHeight="true" outlineLevel="0" collapsed="false">
      <c r="A6" s="63" t="s">
        <v>353</v>
      </c>
      <c r="B6" s="41" t="s">
        <v>354</v>
      </c>
      <c r="C6" s="52" t="s">
        <v>355</v>
      </c>
      <c r="D6" s="65" t="s">
        <v>356</v>
      </c>
    </row>
    <row r="7" customFormat="false" ht="63.75" hidden="false" customHeight="true" outlineLevel="0" collapsed="false">
      <c r="A7" s="63" t="s">
        <v>357</v>
      </c>
      <c r="B7" s="41" t="s">
        <v>358</v>
      </c>
      <c r="C7" s="52" t="s">
        <v>359</v>
      </c>
      <c r="D7" s="65" t="s">
        <v>360</v>
      </c>
    </row>
    <row r="8" customFormat="false" ht="63.75" hidden="false" customHeight="true" outlineLevel="0" collapsed="false">
      <c r="A8" s="63" t="s">
        <v>361</v>
      </c>
      <c r="B8" s="41" t="s">
        <v>362</v>
      </c>
      <c r="C8" s="52" t="s">
        <v>363</v>
      </c>
      <c r="D8" s="65" t="s">
        <v>364</v>
      </c>
    </row>
    <row r="9" customFormat="false" ht="63.75" hidden="false" customHeight="true" outlineLevel="0" collapsed="false">
      <c r="A9" s="63" t="s">
        <v>365</v>
      </c>
      <c r="B9" s="41" t="s">
        <v>366</v>
      </c>
      <c r="C9" s="52" t="s">
        <v>367</v>
      </c>
      <c r="D9" s="65" t="s">
        <v>368</v>
      </c>
    </row>
    <row r="10" customFormat="false" ht="63.75" hidden="false" customHeight="true" outlineLevel="0" collapsed="false">
      <c r="A10" s="63" t="s">
        <v>369</v>
      </c>
      <c r="B10" s="41" t="s">
        <v>370</v>
      </c>
      <c r="C10" s="52" t="s">
        <v>371</v>
      </c>
      <c r="D10" s="65" t="s">
        <v>372</v>
      </c>
    </row>
    <row r="11" customFormat="false" ht="63.75" hidden="false" customHeight="true" outlineLevel="0" collapsed="false">
      <c r="A11" s="63" t="s">
        <v>373</v>
      </c>
      <c r="B11" s="41" t="s">
        <v>374</v>
      </c>
      <c r="C11" s="52" t="s">
        <v>375</v>
      </c>
      <c r="D11" s="65" t="s">
        <v>376</v>
      </c>
    </row>
    <row r="13" customFormat="false" ht="30" hidden="false" customHeight="true" outlineLevel="0" collapsed="false">
      <c r="A13" s="37" t="s">
        <v>377</v>
      </c>
      <c r="B13" s="37"/>
      <c r="C13" s="37"/>
      <c r="D13" s="37"/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378</v>
      </c>
      <c r="B1" s="1"/>
      <c r="C1" s="1"/>
    </row>
    <row r="2" customFormat="false" ht="21.75" hidden="false" customHeight="true" outlineLevel="0" collapsed="false">
      <c r="A2" s="2" t="s">
        <v>379</v>
      </c>
      <c r="B2" s="2"/>
      <c r="C2" s="2"/>
    </row>
    <row r="3" customFormat="false" ht="19.5" hidden="false" customHeight="true" outlineLevel="0" collapsed="false">
      <c r="A3" s="4" t="s">
        <v>380</v>
      </c>
      <c r="B3" s="4"/>
      <c r="C3" s="4"/>
    </row>
    <row r="4" customFormat="false" ht="30" hidden="false" customHeight="true" outlineLevel="0" collapsed="false">
      <c r="A4" s="9" t="s">
        <v>11</v>
      </c>
      <c r="B4" s="9" t="s">
        <v>381</v>
      </c>
      <c r="C4" s="9" t="s">
        <v>382</v>
      </c>
    </row>
    <row r="5" customFormat="false" ht="39.75" hidden="false" customHeight="true" outlineLevel="0" collapsed="false">
      <c r="A5" s="7" t="s">
        <v>15</v>
      </c>
      <c r="B5" s="11" t="s">
        <v>383</v>
      </c>
      <c r="C5" s="24" t="s">
        <v>384</v>
      </c>
    </row>
    <row r="6" customFormat="false" ht="39.75" hidden="false" customHeight="true" outlineLevel="0" collapsed="false">
      <c r="A6" s="7" t="s">
        <v>18</v>
      </c>
      <c r="B6" s="11" t="s">
        <v>385</v>
      </c>
      <c r="C6" s="24" t="s">
        <v>386</v>
      </c>
    </row>
    <row r="7" customFormat="false" ht="39.75" hidden="false" customHeight="true" outlineLevel="0" collapsed="false">
      <c r="A7" s="7" t="s">
        <v>21</v>
      </c>
      <c r="B7" s="11" t="s">
        <v>387</v>
      </c>
      <c r="C7" s="24" t="s">
        <v>388</v>
      </c>
    </row>
    <row r="8" customFormat="false" ht="39.75" hidden="false" customHeight="true" outlineLevel="0" collapsed="false">
      <c r="A8" s="7" t="s">
        <v>24</v>
      </c>
      <c r="B8" s="11" t="s">
        <v>389</v>
      </c>
      <c r="C8" s="24" t="s">
        <v>390</v>
      </c>
    </row>
    <row r="9" customFormat="false" ht="39.75" hidden="false" customHeight="true" outlineLevel="0" collapsed="false">
      <c r="A9" s="7" t="s">
        <v>27</v>
      </c>
      <c r="B9" s="11" t="s">
        <v>391</v>
      </c>
      <c r="C9" s="24" t="s">
        <v>392</v>
      </c>
    </row>
    <row r="11" customFormat="false" ht="19.5" hidden="false" customHeight="true" outlineLevel="0" collapsed="false">
      <c r="A11" s="4" t="s">
        <v>393</v>
      </c>
      <c r="B11" s="4"/>
      <c r="C11" s="4"/>
    </row>
    <row r="12" customFormat="false" ht="30" hidden="false" customHeight="true" outlineLevel="0" collapsed="false">
      <c r="A12" s="9" t="s">
        <v>297</v>
      </c>
      <c r="B12" s="9" t="s">
        <v>394</v>
      </c>
      <c r="C12" s="9"/>
    </row>
    <row r="13" customFormat="false" ht="33.75" hidden="false" customHeight="true" outlineLevel="0" collapsed="false">
      <c r="A13" s="63" t="s">
        <v>395</v>
      </c>
      <c r="B13" s="36" t="s">
        <v>396</v>
      </c>
      <c r="C13" s="36"/>
    </row>
    <row r="14" customFormat="false" ht="33.75" hidden="false" customHeight="true" outlineLevel="0" collapsed="false">
      <c r="A14" s="63" t="s">
        <v>397</v>
      </c>
      <c r="B14" s="36" t="s">
        <v>398</v>
      </c>
      <c r="C14" s="36"/>
    </row>
    <row r="15" customFormat="false" ht="33.75" hidden="false" customHeight="true" outlineLevel="0" collapsed="false">
      <c r="A15" s="63" t="s">
        <v>399</v>
      </c>
      <c r="B15" s="36" t="s">
        <v>400</v>
      </c>
      <c r="C15" s="36"/>
    </row>
    <row r="16" customFormat="false" ht="33.75" hidden="false" customHeight="true" outlineLevel="0" collapsed="false">
      <c r="A16" s="63" t="s">
        <v>401</v>
      </c>
      <c r="B16" s="36" t="s">
        <v>402</v>
      </c>
      <c r="C16" s="36"/>
    </row>
    <row r="17" customFormat="false" ht="33.75" hidden="false" customHeight="true" outlineLevel="0" collapsed="false">
      <c r="A17" s="63" t="s">
        <v>403</v>
      </c>
      <c r="B17" s="36" t="s">
        <v>404</v>
      </c>
      <c r="C17" s="36"/>
    </row>
  </sheetData>
  <mergeCells count="10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7" min="3" style="0" width="12"/>
  </cols>
  <sheetData>
    <row r="1" customFormat="false" ht="25.5" hidden="false" customHeight="true" outlineLevel="0" collapsed="false">
      <c r="A1" s="1" t="s">
        <v>405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406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9" t="s">
        <v>407</v>
      </c>
      <c r="B3" s="9" t="s">
        <v>408</v>
      </c>
      <c r="C3" s="9" t="s">
        <v>409</v>
      </c>
      <c r="D3" s="9" t="s">
        <v>410</v>
      </c>
      <c r="E3" s="9" t="s">
        <v>411</v>
      </c>
      <c r="F3" s="9" t="s">
        <v>412</v>
      </c>
      <c r="G3" s="9" t="s">
        <v>413</v>
      </c>
    </row>
    <row r="4" customFormat="false" ht="55.5" hidden="false" customHeight="true" outlineLevel="0" collapsed="false">
      <c r="A4" s="40" t="s">
        <v>414</v>
      </c>
      <c r="B4" s="41" t="s">
        <v>415</v>
      </c>
      <c r="C4" s="5" t="n">
        <v>1</v>
      </c>
      <c r="D4" s="5" t="n">
        <v>1</v>
      </c>
      <c r="E4" s="5" t="n">
        <v>3</v>
      </c>
      <c r="F4" s="5" t="n">
        <v>1</v>
      </c>
      <c r="G4" s="5" t="n">
        <f aca="false">SUM(C4:F4)</f>
        <v>6</v>
      </c>
    </row>
    <row r="5" customFormat="false" ht="55.5" hidden="false" customHeight="true" outlineLevel="0" collapsed="false">
      <c r="A5" s="50" t="s">
        <v>416</v>
      </c>
      <c r="B5" s="52" t="s">
        <v>417</v>
      </c>
      <c r="C5" s="29" t="n">
        <v>5</v>
      </c>
      <c r="D5" s="29" t="n">
        <v>5</v>
      </c>
      <c r="E5" s="29" t="n">
        <v>4</v>
      </c>
      <c r="F5" s="29" t="n">
        <v>5</v>
      </c>
      <c r="G5" s="29" t="n">
        <f aca="false">SUM(C5:F5)</f>
        <v>19</v>
      </c>
    </row>
    <row r="6" customFormat="false" ht="55.5" hidden="false" customHeight="true" outlineLevel="0" collapsed="false">
      <c r="A6" s="45" t="s">
        <v>418</v>
      </c>
      <c r="B6" s="46" t="s">
        <v>419</v>
      </c>
      <c r="C6" s="7" t="n">
        <v>3</v>
      </c>
      <c r="D6" s="7" t="n">
        <v>3</v>
      </c>
      <c r="E6" s="7" t="n">
        <v>4</v>
      </c>
      <c r="F6" s="7" t="n">
        <v>3</v>
      </c>
      <c r="G6" s="7" t="n">
        <f aca="false">SUM(C6:F6)</f>
        <v>13</v>
      </c>
    </row>
    <row r="8" customFormat="false" ht="19.5" hidden="false" customHeight="true" outlineLevel="0" collapsed="false">
      <c r="A8" s="4" t="s">
        <v>420</v>
      </c>
      <c r="B8" s="4"/>
      <c r="C8" s="4"/>
      <c r="D8" s="4"/>
      <c r="E8" s="4"/>
      <c r="F8" s="4"/>
      <c r="G8" s="4"/>
    </row>
    <row r="9" customFormat="false" ht="15" hidden="false" customHeight="true" outlineLevel="0" collapsed="false">
      <c r="A9" s="72" t="s">
        <v>421</v>
      </c>
      <c r="B9" s="72"/>
      <c r="C9" s="72"/>
      <c r="D9" s="72"/>
      <c r="E9" s="72"/>
      <c r="F9" s="72"/>
      <c r="G9" s="72"/>
    </row>
    <row r="10" customFormat="false" ht="15" hidden="false" customHeight="true" outlineLevel="0" collapsed="false">
      <c r="A10" s="72" t="s">
        <v>422</v>
      </c>
      <c r="B10" s="72"/>
      <c r="C10" s="72"/>
      <c r="D10" s="72"/>
      <c r="E10" s="72"/>
      <c r="F10" s="72"/>
      <c r="G10" s="72"/>
    </row>
    <row r="11" customFormat="false" ht="15" hidden="false" customHeight="true" outlineLevel="0" collapsed="false">
      <c r="A11" s="72" t="s">
        <v>423</v>
      </c>
      <c r="B11" s="72"/>
      <c r="C11" s="72"/>
      <c r="D11" s="72"/>
      <c r="E11" s="72"/>
      <c r="F11" s="72"/>
      <c r="G11" s="72"/>
    </row>
    <row r="12" customFormat="false" ht="15" hidden="false" customHeight="true" outlineLevel="0" collapsed="false">
      <c r="A12" s="72" t="s">
        <v>424</v>
      </c>
      <c r="B12" s="72"/>
      <c r="C12" s="72"/>
      <c r="D12" s="72"/>
      <c r="E12" s="72"/>
      <c r="F12" s="72"/>
      <c r="G12" s="72"/>
    </row>
    <row r="14" customFormat="false" ht="43.5" hidden="false" customHeight="true" outlineLevel="0" collapsed="false">
      <c r="A14" s="73" t="s">
        <v>425</v>
      </c>
      <c r="B14" s="73"/>
      <c r="C14" s="73"/>
      <c r="D14" s="73"/>
      <c r="E14" s="73"/>
      <c r="F14" s="73"/>
      <c r="G14" s="73"/>
    </row>
  </sheetData>
  <mergeCells count="8">
    <mergeCell ref="A1:G1"/>
    <mergeCell ref="A2:G2"/>
    <mergeCell ref="A8:G8"/>
    <mergeCell ref="A9:G9"/>
    <mergeCell ref="A10:G10"/>
    <mergeCell ref="A11:G11"/>
    <mergeCell ref="A12:G1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" t="s">
        <v>426</v>
      </c>
      <c r="B1" s="1"/>
      <c r="C1" s="1"/>
    </row>
    <row r="2" customFormat="false" ht="21.75" hidden="false" customHeight="true" outlineLevel="0" collapsed="false">
      <c r="A2" s="2" t="s">
        <v>427</v>
      </c>
      <c r="B2" s="2"/>
      <c r="C2" s="2"/>
    </row>
    <row r="3" customFormat="false" ht="57.75" hidden="false" customHeight="true" outlineLevel="0" collapsed="false">
      <c r="A3" s="62" t="s">
        <v>428</v>
      </c>
      <c r="B3" s="62"/>
      <c r="C3" s="62"/>
    </row>
    <row r="5" customFormat="false" ht="30" hidden="false" customHeight="true" outlineLevel="0" collapsed="false">
      <c r="A5" s="9" t="s">
        <v>429</v>
      </c>
      <c r="B5" s="9" t="s">
        <v>430</v>
      </c>
      <c r="C5" s="9" t="s">
        <v>431</v>
      </c>
    </row>
    <row r="6" customFormat="false" ht="66" hidden="false" customHeight="true" outlineLevel="0" collapsed="false">
      <c r="A6" s="74" t="s">
        <v>432</v>
      </c>
      <c r="B6" s="15" t="s">
        <v>433</v>
      </c>
      <c r="C6" s="75" t="s">
        <v>434</v>
      </c>
    </row>
    <row r="7" customFormat="false" ht="66" hidden="false" customHeight="true" outlineLevel="0" collapsed="false">
      <c r="A7" s="74" t="s">
        <v>435</v>
      </c>
      <c r="B7" s="15" t="s">
        <v>436</v>
      </c>
      <c r="C7" s="75" t="s">
        <v>434</v>
      </c>
    </row>
    <row r="8" customFormat="false" ht="66" hidden="false" customHeight="true" outlineLevel="0" collapsed="false">
      <c r="A8" s="76" t="s">
        <v>437</v>
      </c>
      <c r="B8" s="20" t="s">
        <v>438</v>
      </c>
      <c r="C8" s="77" t="s">
        <v>439</v>
      </c>
    </row>
    <row r="9" customFormat="false" ht="66" hidden="false" customHeight="true" outlineLevel="0" collapsed="false">
      <c r="A9" s="76" t="s">
        <v>440</v>
      </c>
      <c r="B9" s="20" t="s">
        <v>441</v>
      </c>
      <c r="C9" s="77" t="s">
        <v>439</v>
      </c>
    </row>
    <row r="10" customFormat="false" ht="66" hidden="false" customHeight="true" outlineLevel="0" collapsed="false">
      <c r="A10" s="76" t="s">
        <v>442</v>
      </c>
      <c r="B10" s="20" t="s">
        <v>443</v>
      </c>
      <c r="C10" s="77" t="s">
        <v>439</v>
      </c>
    </row>
    <row r="11" customFormat="false" ht="66" hidden="false" customHeight="true" outlineLevel="0" collapsed="false">
      <c r="A11" s="78" t="s">
        <v>444</v>
      </c>
      <c r="B11" s="24" t="s">
        <v>445</v>
      </c>
      <c r="C11" s="79" t="s">
        <v>446</v>
      </c>
    </row>
    <row r="12" customFormat="false" ht="66" hidden="false" customHeight="true" outlineLevel="0" collapsed="false">
      <c r="A12" s="78" t="s">
        <v>447</v>
      </c>
      <c r="B12" s="24" t="s">
        <v>448</v>
      </c>
      <c r="C12" s="79" t="s">
        <v>446</v>
      </c>
    </row>
    <row r="14" customFormat="false" ht="19.5" hidden="false" customHeight="true" outlineLevel="0" collapsed="false">
      <c r="A14" s="4" t="s">
        <v>449</v>
      </c>
      <c r="B14" s="4"/>
      <c r="C14" s="4"/>
    </row>
    <row r="15" customFormat="false" ht="43.5" hidden="false" customHeight="true" outlineLevel="0" collapsed="false">
      <c r="A15" s="80" t="s">
        <v>450</v>
      </c>
      <c r="B15" s="80"/>
      <c r="C15" s="80"/>
    </row>
    <row r="16" customFormat="false" ht="43.5" hidden="false" customHeight="true" outlineLevel="0" collapsed="false">
      <c r="A16" s="80" t="s">
        <v>451</v>
      </c>
      <c r="B16" s="80"/>
      <c r="C16" s="80"/>
    </row>
    <row r="17" customFormat="false" ht="43.5" hidden="false" customHeight="true" outlineLevel="0" collapsed="false">
      <c r="A17" s="80" t="s">
        <v>452</v>
      </c>
      <c r="B17" s="80"/>
      <c r="C17" s="80"/>
    </row>
    <row r="19" customFormat="false" ht="30" hidden="false" customHeight="true" outlineLevel="0" collapsed="false">
      <c r="A19" s="37" t="s">
        <v>453</v>
      </c>
      <c r="B19" s="37"/>
      <c r="C19" s="37"/>
    </row>
  </sheetData>
  <mergeCells count="8">
    <mergeCell ref="A1:C1"/>
    <mergeCell ref="A2:C2"/>
    <mergeCell ref="A3:C3"/>
    <mergeCell ref="A14:C14"/>
    <mergeCell ref="A15:C15"/>
    <mergeCell ref="A16:C16"/>
    <mergeCell ref="A17:C17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2026-08-03T18:07:35Z</dcterms:created>
  <dc:creator>openpyxl</dc:creator>
  <dc:description/>
  <dc:language>en-US</dc:language>
  <cp:lastModifiedBy/>
  <dcterms:modified xsi:type="dcterms:W3CDTF">2026-08-03T18:07:35Z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