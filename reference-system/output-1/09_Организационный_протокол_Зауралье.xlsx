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О_документе" sheetId="1" state="visible" r:id="rId3"/>
    <sheet name="01_Паспорт_объекта" sheetId="2" state="visible" r:id="rId4"/>
    <sheet name="02_Протокол_поручений" sheetId="3" state="visible" r:id="rId5"/>
    <sheet name="03_План_работ_такты" sheetId="4" state="visible" r:id="rId6"/>
    <sheet name="04_Реестр_писем" sheetId="5" state="visible" r:id="rId7"/>
    <sheet name="05_Разграничение_объёма" sheetId="6" state="visible" r:id="rId8"/>
    <sheet name="06_Реестр_рисков" sheetId="7" state="visible" r:id="rId9"/>
    <sheet name="07_Условия_старта" sheetId="8" state="visible" r:id="rId10"/>
    <sheet name="08_Договор_обеспечение" sheetId="9" state="visible" r:id="rId11"/>
    <sheet name="09_Финрезультат" sheetId="10" state="visible" r:id="rId12"/>
    <sheet name="10_Совещания" sheetId="11" state="visible" r:id="rId13"/>
    <sheet name="11_Взаимодействие" sheetId="12" state="visible" r:id="rId14"/>
    <sheet name="12_Сводка_объекта" sheetId="13" state="visible" r:id="rId15"/>
    <sheet name="13_Заключение_руководителю" sheetId="14" state="visible" r:id="rId16"/>
  </sheets>
  <definedNames>
    <definedName function="false" hidden="true" localSheetId="2" name="_xlnm._FilterDatabase" vbProcedure="false">02_Протокол_поручений!$A$4:$J$51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<sst xmlns="http://schemas.openxmlformats.org/spreadsheetml/2006/main" count="1225" uniqueCount="794">
  <si>
    <t xml:space="preserve">СТРОЙИНТЕЛЛЕКТ · АДМИНИСТРАТИВНЫЙ ПРОТОКОЛ РАБОТЫ КОМАНДЫ</t>
  </si>
  <si>
    <t xml:space="preserve">Объект: оснащение системой видеонаблюдения ЖДПП «Зауралье» (СОТ + ЭОМ) · ст. Зауралье, 76 км, пк 6+80 · Половинский р-н, Курганская обл. · SI-2026-KRG-ZAU-СОТ</t>
  </si>
  <si>
    <t xml:space="preserve">НАЗНАЧЕНИЕ И РЕКВИЗИТЫ</t>
  </si>
  <si>
    <t xml:space="preserve">№</t>
  </si>
  <si>
    <t xml:space="preserve">Параметр</t>
  </si>
  <si>
    <t xml:space="preserve">Значение</t>
  </si>
  <si>
    <t xml:space="preserve">Примечание</t>
  </si>
  <si>
    <t xml:space="preserve">Наименование документа</t>
  </si>
  <si>
    <t xml:space="preserve">Административный по позициямионный протокол работы проектного офиса над объектом. Свод поручений, план шагов, реестр писем-запросов, разграничение объёма, реестр рисков, условия старта, финансовая картина, расписание совещаний.</t>
  </si>
  <si>
    <t xml:space="preserve">Кому адресован</t>
  </si>
  <si>
    <t xml:space="preserve">ИИ-руководителю проектау (руководитель проектного офиса) — на заключение. Для представления потенциальному генеральному подрядчику — потенциальный генподрядчик.</t>
  </si>
  <si>
    <t xml:space="preserve">Составитель</t>
  </si>
  <si>
    <t xml:space="preserve">ИИ-администратор · администратор проектного офиса · СтройИнтеллект</t>
  </si>
  <si>
    <t xml:space="preserve">03.08.2026</t>
  </si>
  <si>
    <t xml:space="preserve">Стадия объекта</t>
  </si>
  <si>
    <t xml:space="preserve">Предстартовая проработка. Проектная документация стадии «П». Рабочая документация для точных объёмов ещё требуется. Договор не получен.</t>
  </si>
  <si>
    <t xml:space="preserve">Дата фиксации данных</t>
  </si>
  <si>
    <t xml:space="preserve">03.08.2026. Дата подписания договора (Т0) в документах НЕ задана — часть сроков указана относительно Т0.</t>
  </si>
  <si>
    <t xml:space="preserve">ИСХОДНЫЕ МАТЕРИАЛЫ (артефакты специалистов, Такты 0–5)</t>
  </si>
  <si>
    <t xml:space="preserve">Специалист / роль</t>
  </si>
  <si>
    <t xml:space="preserve">Документ (артефакт)</t>
  </si>
  <si>
    <t xml:space="preserve">Такт</t>
  </si>
  <si>
    <t xml:space="preserve">ИИ-руководитель проекта — руководитель</t>
  </si>
  <si>
    <t xml:space="preserve">Паспорт объекта + предварительный анализ документации, 7 флагов</t>
  </si>
  <si>
    <t xml:space="preserve">Такт 0</t>
  </si>
  <si>
    <t xml:space="preserve">ИИ-ГИП (ИИ-ГИП) — гл. инженер проекта</t>
  </si>
  <si>
    <t xml:space="preserve">Техническое заключение (инженерная модель), заключение по ведомости объёмов</t>
  </si>
  <si>
    <t xml:space="preserve">Такт 1</t>
  </si>
  <si>
    <t xml:space="preserve">ИИ-сметчик — сметчик</t>
  </si>
  <si>
    <t xml:space="preserve">Свод по 4 локальным сметам, пересчёт, конъюнктура, финрезультат</t>
  </si>
  <si>
    <t xml:space="preserve">Такт 1/2</t>
  </si>
  <si>
    <t xml:space="preserve">ИИ-снабженец — снабжение</t>
  </si>
  <si>
    <t xml:space="preserve">Реестр материалов и оборудования, карта сроков поставки, поставщики</t>
  </si>
  <si>
    <t xml:space="preserve">Такт 3а</t>
  </si>
  <si>
    <t xml:space="preserve">ИИ-подрядчик — подряд</t>
  </si>
  <si>
    <t xml:space="preserve">Ведомость распределения работ, отбор субподрядчиков, спецтехника</t>
  </si>
  <si>
    <t xml:space="preserve">Такт 3б</t>
  </si>
  <si>
    <t xml:space="preserve">ИИ-ПТО (ИИ-ПТО) — ПТО</t>
  </si>
  <si>
    <t xml:space="preserve">Реестр исполнительной документации, чек-лист старта, стоимость ИД</t>
  </si>
  <si>
    <t xml:space="preserve">Такт 4а</t>
  </si>
  <si>
    <t xml:space="preserve">ИИ-договорник — договорник</t>
  </si>
  <si>
    <t xml:space="preserve">Правовой паспорт, реестр рисков, разграничение объёма, формулировки</t>
  </si>
  <si>
    <t xml:space="preserve">Такт 4б</t>
  </si>
  <si>
    <t xml:space="preserve">ИИ-экономист (ИИ-экономист) — экономист</t>
  </si>
  <si>
    <t xml:space="preserve">Себестоимость по 3 сценариям, заключение по марже</t>
  </si>
  <si>
    <t xml:space="preserve">Такт 5</t>
  </si>
  <si>
    <t xml:space="preserve">УСЛОВНЫЕ ОБОЗНАЧЕНИЯ И ПОРЯДОК ЧТЕНИЯ</t>
  </si>
  <si>
    <t xml:space="preserve">Обозначение</t>
  </si>
  <si>
    <t xml:space="preserve">Цвет</t>
  </si>
  <si>
    <t xml:space="preserve">🔴 Критично</t>
  </si>
  <si>
    <t xml:space="preserve">Блокирует старт, оплату или ввод. Требует решения руководителя незамедлительно.</t>
  </si>
  <si>
    <t xml:space="preserve">🟡 Под контролем</t>
  </si>
  <si>
    <t xml:space="preserve">Риск управляем, но требует действия и срока.</t>
  </si>
  <si>
    <t xml:space="preserve">🟢 В норме</t>
  </si>
  <si>
    <t xml:space="preserve">Данные подтверждены, действие исполнимо своими силами.</t>
  </si>
  <si>
    <t xml:space="preserve">Т0</t>
  </si>
  <si>
    <t xml:space="preserve">Дата подписания договора / выхода на объект. В документах не задана — от неё считаются сроки.</t>
  </si>
  <si>
    <t xml:space="preserve">Ключевой лист</t>
  </si>
  <si>
    <t xml:space="preserve">«02_Протокол_поручений» — по позициямионный свод всех задач команды. Остальные листы его раскрывают.</t>
  </si>
  <si>
    <t xml:space="preserve">⚠ ВАЖНО ДЛЯ ЧИТАЮЩЕГО (сверка данных по марже)</t>
  </si>
  <si>
    <t xml:space="preserve">Валовая оценка сметчика (ИИ-сметчик) по «чистому» фронту даёт маржу до +14%. Экономист (ИИ-экономист) пересчитал её «снизу вверх» с реальной ценой субподряда, административно-хозяйственными расходами генподряда (штат, 6 мес — 3,64 млн ₽) и стоимостью производства исполнительной документации сверх сметы (1,3–1,8 млн ₽) — и получил маржу у нуля (−0,6%) в базовом сценарии. ОПОРНЫЙ ИСТОЧНИК ПО МАРЖЕ — экономист (ИИ-экономист): его цифра консервативна и учитывает косвенные затраты. Знак маржи определяет судьба блока «выноса контактной сети» (64,71 млн ₽) — см. листы 05, 09.</t>
  </si>
  <si>
    <t xml:space="preserve">ПАСПОРТ ОБЪЕКТА · SI-2026-KRG-ZAU-СОТ</t>
  </si>
  <si>
    <t xml:space="preserve">Мастер-документ администратора. Актуализируется при каждом изменении. Источник: паспорт руководителя + заключения специалистов</t>
  </si>
  <si>
    <t xml:space="preserve">1. ОБЩИЕ СВЕДЕНИЯ</t>
  </si>
  <si>
    <t xml:space="preserve">Идентификатор (внутренний)</t>
  </si>
  <si>
    <t xml:space="preserve">SI-2026-KRG-ZAU-СОТ (присвоен руководителем проектного офиса)</t>
  </si>
  <si>
    <t xml:space="preserve">Наименование</t>
  </si>
  <si>
    <t xml:space="preserve">Оснащение системой видеонаблюдения ЖДПП «Зауралье». Система охранного телевидения (СОТ) + электроснабжение (ЭОМ). Актуализация проектно-сметной документации</t>
  </si>
  <si>
    <t xml:space="preserve">Адрес</t>
  </si>
  <si>
    <t xml:space="preserve">Курганская обл., Половинский р-н, ст. Зауралье, 76 км, пк 6+80 — действующий пограничный железнодорожный пункт пропуска</t>
  </si>
  <si>
    <t xml:space="preserve">Тип объекта</t>
  </si>
  <si>
    <t xml:space="preserve">Слаботочные системы (СОТ) + электроснабжение 0,4 кВ (ЭОМ) на действующей ж/д станции. НЕ капитальное строительство в классике — монтаж систем</t>
  </si>
  <si>
    <t xml:space="preserve">Особый режим</t>
  </si>
  <si>
    <t xml:space="preserve">Пограничный пункт → категорированные помещения (ФЗ 5485-1 «О гостайне»), спецпроверки и специсследования ФСБ. Контактная сеть 27,5 кВ → работы в «окна» РЖД</t>
  </si>
  <si>
    <t xml:space="preserve">Стадия</t>
  </si>
  <si>
    <t xml:space="preserve">Предстартовая проработка. Проектная документация «П». Рабочая документация для точных объёмов ещё нужна</t>
  </si>
  <si>
    <t xml:space="preserve">2. УЧАСТНИКИ</t>
  </si>
  <si>
    <t xml:space="preserve">Заказчик / инвестор</t>
  </si>
  <si>
    <t xml:space="preserve">⚠ НЕ ИДЕНТИФИЦИРОВАН в присланных файлах. Конечный интересант — Пограничное управление ФСБ России по Курганской и Тюменской обл. Установить наименование, ИНН, ЛПР, источник финансирования (ИИ-договорник)</t>
  </si>
  <si>
    <t xml:space="preserve">Режим закупки</t>
  </si>
  <si>
    <t xml:space="preserve">⚠ НЕ УСТАНОВЛЕН. Гипотезы: 44-ФЗ (в т.ч. закрытая закупка — гостайна) / гособоронзаказ 275-ФЗ / 223-ФЗ. От этого зависит процедура, аванс, обеспечение, учёт, потолок рентабельности</t>
  </si>
  <si>
    <t xml:space="preserve">Проектировщик</t>
  </si>
  <si>
    <t xml:space="preserve">АО «Институт «Оргэнергострой» (Москва). Проект 1102/23-Зауралье. ГИП — Безъязыков Д.С., проверял Прокин С.Ю.</t>
  </si>
  <si>
    <t xml:space="preserve">Смету составил</t>
  </si>
  <si>
    <t xml:space="preserve">инж. Распопов Н.А.; проверил Гончаров К.В.</t>
  </si>
  <si>
    <t xml:space="preserve">Наша роль</t>
  </si>
  <si>
    <t xml:space="preserve">Генеральный подряд / подряд на СМР и монтаж. Уточнить: с поставкой оборудования или без</t>
  </si>
  <si>
    <t xml:space="preserve">Проектный офис (команда)</t>
  </si>
  <si>
    <t xml:space="preserve">ИИ-руководитель проекта — руководитель; ИИ-ГИП — ГИП; ИИ-сметчик — сметчик; ИИ-снабженец — снабжение; ИИ-подрядчик — подряд; ИИ-ПТО — ПТО; ИИ-договорник — договорник; ИИ-экономист — экономист; ИИ-администратор — администратор</t>
  </si>
  <si>
    <t xml:space="preserve">3. ЦЕНА, НАЛОГИ, СРОКИ</t>
  </si>
  <si>
    <t xml:space="preserve">Сметная стоимость (потолок цены)</t>
  </si>
  <si>
    <t xml:space="preserve">128 491 484 ₽ с НДС 20% (уровень цен II кв. 2025). Без НДС — 107 076 237 ₽ (Главы 1–9 = сумма 4 локальных смет)</t>
  </si>
  <si>
    <t xml:space="preserve">НДС</t>
  </si>
  <si>
    <t xml:space="preserve">В смете 20%. С 01.01.2026 — 22% (ФЗ №425-ФЗ). Работы 2026 → ставка 22%. Недобор при твёрдой цене «включая НДС» ≈ 2,14 млн ₽</t>
  </si>
  <si>
    <t xml:space="preserve">Метод расчёта</t>
  </si>
  <si>
    <t xml:space="preserve">Ресурсный и ресурсно-индексный. ГРАНД-Смета 2026.1, ФСНБ (приказ 421/пр) + индексы Минстроя до 299/пр от 19.05.2025</t>
  </si>
  <si>
    <t xml:space="preserve">Тип цены (гипотеза)</t>
  </si>
  <si>
    <t xml:space="preserve">Вероятно твёрдая (ст. 709 ГК). При твёрдой цене экономия — наша (ст. 710), но удорожание и рост НДС — тоже наш риск</t>
  </si>
  <si>
    <t xml:space="preserve">Плановый срок</t>
  </si>
  <si>
    <t xml:space="preserve">⚠ НЕ ЗАДАН в документах. Зимний ж/д монтаж и «окна» РЖД — отдельный риск простоя</t>
  </si>
  <si>
    <t xml:space="preserve">Целевая маржа</t>
  </si>
  <si>
    <t xml:space="preserve">8–9% от НМЦК (руководитель). Красная линия — 5%. Ниже — стоп и переторг/эскалация</t>
  </si>
  <si>
    <t xml:space="preserve">4. ИНЖЕНЕРНЫЙ ПРОФИЛЬ (заключение ГИП — ИИ-ГИП)</t>
  </si>
  <si>
    <t xml:space="preserve">Заключение по ведомости объёмов</t>
  </si>
  <si>
    <t xml:space="preserve">🔴 ВОЗВРАЩЕНА. Блок «выноса/возврата контактной сети РЖД» (≈200 км в смете) не подтверждается проектным решением: проект пересекает контактную сеть проколами ГНБ, опоры ≥2 м от сети. Физически на станции ~17–20 км всех проводов</t>
  </si>
  <si>
    <t xml:space="preserve">Контроль метода</t>
  </si>
  <si>
    <t xml:space="preserve">Длина провода СИП-4 в смете совпадает с кабельным журналом (расхождение 0,1%) — сметчик считает по РД. Значит блок «выноса КС» — чужеродная вставка, а не общая ошибка</t>
  </si>
  <si>
    <t xml:space="preserve">Оборудование СОТ</t>
  </si>
  <si>
    <t xml:space="preserve">202 камеры, 2 сервера хранения (по 384 Тб), 8 модулей РЛС, 8 изделий «НЕО», 36 коммутаторов, источники бесперебойного питания — в смете как поставка отсутствуют (заведён только монтаж). Ориентир рынка — десятки млн ₽</t>
  </si>
  <si>
    <t xml:space="preserve">Электроснабжение</t>
  </si>
  <si>
    <t xml:space="preserve">Резерв (2-й ввод, АВР) и внешнее электроснабжение (трансформаторная подстанция) отнесены «на отдельный проект» — I категория надёжности данной РД не обеспечена</t>
  </si>
  <si>
    <t xml:space="preserve">Устаревшие нормы в пояснительной записке</t>
  </si>
  <si>
    <t xml:space="preserve">4 ошибочные/отменённые ссылки (СП 6.13130.2009, СНиП 3.05.06-85, МГСН 4.04-94, СНиП 21-02-97*) — замечания проектировщику</t>
  </si>
  <si>
    <t xml:space="preserve">5. СТАТУСЫ (на 03.08.2026)</t>
  </si>
  <si>
    <t xml:space="preserve">Статус договора</t>
  </si>
  <si>
    <t xml:space="preserve">🔴 не получен. Весь правовой анализ — предварительный по 44-ФЗ/ГК как шаблону (±15%)</t>
  </si>
  <si>
    <t xml:space="preserve">Статус исполнительной документации</t>
  </si>
  <si>
    <t xml:space="preserve">🔴 не начата (стадия «П»). Из 4 условий старта не выполнено ни одно</t>
  </si>
  <si>
    <t xml:space="preserve">Статус финансовой модели</t>
  </si>
  <si>
    <t xml:space="preserve">🟡 себестоимость собрана (ИИ-экономист, Такт 5). Движение денежных средств (БДДС) — после получения договора</t>
  </si>
  <si>
    <t xml:space="preserve">Предварительный заключение руководителя</t>
  </si>
  <si>
    <t xml:space="preserve">🟡 ЖЁЛТЫЙ — брать в проработку, себестоимость пока НЕ достоверна. Три красных вопроса: объём контактной сети, НДС 22%, судьба оборудования</t>
  </si>
  <si>
    <t xml:space="preserve">ПО ПОЗИЦИЯМ ПРОТОКОЛ ПОРУЧЕНИЙ КОМАНДЫ</t>
  </si>
  <si>
    <t xml:space="preserve">Каждое поручение: направление, задача, основание, ответственный, срок, денежный эффект, приоритет, статус. Поручение без срока не вносится. Т0 — дата подписания договора</t>
  </si>
  <si>
    <t xml:space="preserve">Направление</t>
  </si>
  <si>
    <t xml:space="preserve">Позиция / задача</t>
  </si>
  <si>
    <t xml:space="preserve">Основание (артефакт)</t>
  </si>
  <si>
    <t xml:space="preserve">Ответственный</t>
  </si>
  <si>
    <t xml:space="preserve">Соисполнитель</t>
  </si>
  <si>
    <t xml:space="preserve">Срок</t>
  </si>
  <si>
    <t xml:space="preserve">Денежный эффект, ₽</t>
  </si>
  <si>
    <t xml:space="preserve">Приоритет · Статус</t>
  </si>
  <si>
    <t xml:space="preserve">1</t>
  </si>
  <si>
    <t xml:space="preserve">Инженерия</t>
  </si>
  <si>
    <t xml:space="preserve">Вернуть ведомость объёмов на пересчёт: снять/пересчитать блок «выноса контактной сети» (200 км не обоснованы РД), оставить обоснованный малый блок поперечин (1,92 км + 3 шт)</t>
  </si>
  <si>
    <t xml:space="preserve">Заключение ГИП, заключение по ВОР</t>
  </si>
  <si>
    <t xml:space="preserve">ИИ-ГИП</t>
  </si>
  <si>
    <t xml:space="preserve">ИИ-сметчик</t>
  </si>
  <si>
    <t xml:space="preserve">выполнено 03.08</t>
  </si>
  <si>
    <t xml:space="preserve">64 710 398 — под вопросом</t>
  </si>
  <si>
    <t xml:space="preserve">Передать ведомость опор (типоразмер, масса, марка) — без неё коммерческое предложение по опорам неточно</t>
  </si>
  <si>
    <t xml:space="preserve">Заключение ГИП, находка 4</t>
  </si>
  <si>
    <t xml:space="preserve">ИИ-снабженец</t>
  </si>
  <si>
    <t xml:space="preserve">Т0−, до КП опор</t>
  </si>
  <si>
    <t xml:space="preserve">5,06–7,54 млн — уточнить</t>
  </si>
  <si>
    <t xml:space="preserve">Уточнить объём волоконно-оптического кабеля по кабельному журналу РД</t>
  </si>
  <si>
    <t xml:space="preserve">Заключение ГИП</t>
  </si>
  <si>
    <t xml:space="preserve">до КП по кабелю</t>
  </si>
  <si>
    <t xml:space="preserve">в составе поставки</t>
  </si>
  <si>
    <t xml:space="preserve">Свести спецификацию: число камер (191/202) и разрешение; марка сплит-системы (Candy/LG); число блок-контейнеров (1/2); состав заземления</t>
  </si>
  <si>
    <t xml:space="preserve">Заключение ГИП, находки 4,7</t>
  </si>
  <si>
    <t xml:space="preserve">до единой спецификации</t>
  </si>
  <si>
    <t xml:space="preserve">точность себестоимости</t>
  </si>
  <si>
    <t xml:space="preserve">Замечания по устаревшим нормам в пояснительной записке (4 ссылки) — проектировщику для устранения</t>
  </si>
  <si>
    <t xml:space="preserve">Заключение ГИП, находка 9</t>
  </si>
  <si>
    <t xml:space="preserve">ИИ-ПТО</t>
  </si>
  <si>
    <t xml:space="preserve">до экспертизы РД</t>
  </si>
  <si>
    <t xml:space="preserve">снятие рисков надзора</t>
  </si>
  <si>
    <t xml:space="preserve">Уточнение РД: перекос фаз (асимметрия 27%), загрузка ввода С63 ~92%; отопление контейнера электроконвекторами при −40 °C (нет в таблице нагрузок)</t>
  </si>
  <si>
    <t xml:space="preserve">Заключение ГИП, находки 5–7</t>
  </si>
  <si>
    <t xml:space="preserve">до РД</t>
  </si>
  <si>
    <t xml:space="preserve">на КС-2 не влияет</t>
  </si>
  <si>
    <t xml:space="preserve">2</t>
  </si>
  <si>
    <t xml:space="preserve">Смета</t>
  </si>
  <si>
    <t xml:space="preserve">Пересчитать ведомость объёмов без блока «выноса КС» + переиндексировать II кв. 2025 → 2026 (ориентир −5%)</t>
  </si>
  <si>
    <t xml:space="preserve">Свод по ЛСР, финрезультат</t>
  </si>
  <si>
    <t xml:space="preserve">ИИ-экономист</t>
  </si>
  <si>
    <t xml:space="preserve">после возврата ВОР</t>
  </si>
  <si>
    <t xml:space="preserve">реиндекс ~5%</t>
  </si>
  <si>
    <t xml:space="preserve">Снять двойной счёт пусконаладочных работ (0,89 млн ₽) из НМЦК</t>
  </si>
  <si>
    <t xml:space="preserve">Свод по ЛСР</t>
  </si>
  <si>
    <t xml:space="preserve">ИИ-договорник</t>
  </si>
  <si>
    <t xml:space="preserve">при аудите Гл.12</t>
  </si>
  <si>
    <t xml:space="preserve">−890 670 (воздух)</t>
  </si>
  <si>
    <t xml:space="preserve">Разнести стоимость металла опор: в СМР или в материалах? Ведомость опор с массой</t>
  </si>
  <si>
    <t xml:space="preserve">Конъюнктура; запрос ИИ-снабженца</t>
  </si>
  <si>
    <t xml:space="preserve">до 05.08 (относит.)</t>
  </si>
  <si>
    <t xml:space="preserve">разграничение объёма</t>
  </si>
  <si>
    <t xml:space="preserve">Раскладка накладных расходов и сметной прибыли на реальном фронте — от неё выгода самовыполнения ЭОМ</t>
  </si>
  <si>
    <t xml:space="preserve">Лист НР/СП</t>
  </si>
  <si>
    <t xml:space="preserve">до финмодели</t>
  </si>
  <si>
    <t xml:space="preserve">до +5 млн (рычаг)</t>
  </si>
  <si>
    <t xml:space="preserve">3</t>
  </si>
  <si>
    <t xml:space="preserve">Закупки</t>
  </si>
  <si>
    <t xml:space="preserve">3 коммерческих предложения по проводу СИП-4 4×25 (4,96 км) с доставкой до ст. Зауралье</t>
  </si>
  <si>
    <t xml:space="preserve">Реестр материалов, план 72 ч</t>
  </si>
  <si>
    <t xml:space="preserve">—</t>
  </si>
  <si>
    <t xml:space="preserve">07.08 (относит.)</t>
  </si>
  <si>
    <t xml:space="preserve">0,55–0,69 млн</t>
  </si>
  <si>
    <t xml:space="preserve">Коммерческое предложение по волоконно-оптическому кабелю (8 волокон), объём — от ГИП</t>
  </si>
  <si>
    <t xml:space="preserve">План 72 ч</t>
  </si>
  <si>
    <t xml:space="preserve">Коммерческие предложения по опорам от уральских заводов (после ведомости опор)</t>
  </si>
  <si>
    <t xml:space="preserve">08.08 (относит.)</t>
  </si>
  <si>
    <t xml:space="preserve">5,06–7,54 млн</t>
  </si>
  <si>
    <t xml:space="preserve">Коммерческие предложения: блок-контейнер (исполнение −40 °C), плиты, анкеры (региональные заводы Урала)</t>
  </si>
  <si>
    <t xml:space="preserve">09.08 (относит.)</t>
  </si>
  <si>
    <t xml:space="preserve">логистика −4–6%</t>
  </si>
  <si>
    <t xml:space="preserve">Уточнить конфигурацию криптошлюзов ViPNet и границу поставки средств криптозащиты (инициализация ключей — чья)</t>
  </si>
  <si>
    <t xml:space="preserve">Реестр оборудования</t>
  </si>
  <si>
    <t xml:space="preserve">1,39 млн (в смете)</t>
  </si>
  <si>
    <t xml:space="preserve">Письменно подтвердить статус «железа» СОТ как давальческого (поставка Заказчика)</t>
  </si>
  <si>
    <t xml:space="preserve">Заключение снабжения; находка 4 ГИП</t>
  </si>
  <si>
    <t xml:space="preserve">до подачи/подписания</t>
  </si>
  <si>
    <t xml:space="preserve">15,81–45,6 млн</t>
  </si>
  <si>
    <t xml:space="preserve">Свод-отбор по ключевым позициям (по 3 предложения) → руководителю</t>
  </si>
  <si>
    <t xml:space="preserve">ИИ-руководитель проекта</t>
  </si>
  <si>
    <t xml:space="preserve">решение по поставщикам</t>
  </si>
  <si>
    <t xml:space="preserve">Подряд</t>
  </si>
  <si>
    <t xml:space="preserve">Обзвон субподрядчика монтажа СОТ — СБ «Парсек» (Курган): лицензии ФСБ/ФСТЭК, отчётность 2 года, коммерческое предложение на монтаж (11,09 млн ₽)</t>
  </si>
  <si>
    <t xml:space="preserve">Отбор СОТ, план 72 ч</t>
  </si>
  <si>
    <t xml:space="preserve">ИИ-подрядчик</t>
  </si>
  <si>
    <t xml:space="preserve">Т0+48 ч</t>
  </si>
  <si>
    <t xml:space="preserve">11 086 179</t>
  </si>
  <si>
    <t xml:space="preserve">Отбор 3 кандидатов по пакету П-1 (электромонтаж ЭОМ, 24,82 млн ₽) → руководителю</t>
  </si>
  <si>
    <t xml:space="preserve">Ведомость распределения</t>
  </si>
  <si>
    <t xml:space="preserve">Т0+72 ч</t>
  </si>
  <si>
    <t xml:space="preserve">24 822 167</t>
  </si>
  <si>
    <t xml:space="preserve">Отбор 3 кандидатов по пакету П-2 (монтаж СОТ) → руководителю</t>
  </si>
  <si>
    <t xml:space="preserve">Отбор СОТ</t>
  </si>
  <si>
    <t xml:space="preserve">в составе П-2</t>
  </si>
  <si>
    <t xml:space="preserve">Запрос в дистанцию электроснабжения ЮУЖД (ЭЧ) через РЖД/ИИ-договорника: порядок работ на контактной сети в «окна», кто исполнитель, чьи риски простоя — разблокировка пакета П-4</t>
  </si>
  <si>
    <t xml:space="preserve">Блок КС; лист ЭЧ</t>
  </si>
  <si>
    <t xml:space="preserve">Т0+5 дн</t>
  </si>
  <si>
    <t xml:space="preserve">64 710 398 (условно)</t>
  </si>
  <si>
    <t xml:space="preserve">Коммерческие предложения на спецтехнику (автогидроподъёмник, вибропогружатель, ГНБ): аренда или субподряд</t>
  </si>
  <si>
    <t xml:space="preserve">Лист спецтехники</t>
  </si>
  <si>
    <t xml:space="preserve">аренда локально</t>
  </si>
  <si>
    <t xml:space="preserve">Прогрев резервных кандидатов (сценарий Г) по пакетам П-1/П-2</t>
  </si>
  <si>
    <t xml:space="preserve">Резерв Г</t>
  </si>
  <si>
    <t xml:space="preserve">параллельно</t>
  </si>
  <si>
    <t xml:space="preserve">устойчивость</t>
  </si>
  <si>
    <t xml:space="preserve">4</t>
  </si>
  <si>
    <t xml:space="preserve">ПТО</t>
  </si>
  <si>
    <t xml:space="preserve">Пакет приказов о назначении ответственных (производство работ, ИД, стройконтроль, электрохозяйство, работы у КС/на путях, режим)</t>
  </si>
  <si>
    <t xml:space="preserve">Чек-лист старта, условие 1</t>
  </si>
  <si>
    <t xml:space="preserve">ИИ-администратор</t>
  </si>
  <si>
    <t xml:space="preserve">до Т0</t>
  </si>
  <si>
    <t xml:space="preserve">условие старта</t>
  </si>
  <si>
    <t xml:space="preserve">Договор с аккредитованной электролабораторией (электроизмерения 0,4 кВ, заземление, петля фаза-ноль, испытание СИП)</t>
  </si>
  <si>
    <t xml:space="preserve">Чек-лист старта, условие 2</t>
  </si>
  <si>
    <t xml:space="preserve">до электромонтажа</t>
  </si>
  <si>
    <t xml:space="preserve">условие оплаты</t>
  </si>
  <si>
    <t xml:space="preserve">Согласовать ПОС и ППР под ж/д и режим (работы у КС 27,5 кВ, на путях, «окна» РЖД, ГНБ-проколы)</t>
  </si>
  <si>
    <t xml:space="preserve">Чек-лист старта, условие 3</t>
  </si>
  <si>
    <t xml:space="preserve">Получить от Заказчика перечень электронной ИД (ГОСТ Р 70108-2025) и шаблоны актов по приказу 344/пр</t>
  </si>
  <si>
    <t xml:space="preserve">Чек-лист старта, условие 4</t>
  </si>
  <si>
    <t xml:space="preserve">Заказчик</t>
  </si>
  <si>
    <t xml:space="preserve">ИИ-договорник/ИИ-ПТО</t>
  </si>
  <si>
    <t xml:space="preserve">Держать недопуск блока «выноса КС» в акты скрытых работ и КС-2 (нельзя актировать невыполненное)</t>
  </si>
  <si>
    <t xml:space="preserve">Реестр ИД; блок КС</t>
  </si>
  <si>
    <t xml:space="preserve">постоянно</t>
  </si>
  <si>
    <t xml:space="preserve">защита от ст.159 УК</t>
  </si>
  <si>
    <t xml:space="preserve">Уточнить объём аттестации объекта информатизации (приказ ФСТЭК №77): наш или Заказчика</t>
  </si>
  <si>
    <t xml:space="preserve">Режим ФСБ</t>
  </si>
  <si>
    <t xml:space="preserve">блокер ввода</t>
  </si>
  <si>
    <t xml:space="preserve">Заложить стоимость производства ИД (электролаборатория, оптические измерения, геодезия, электронная ИД, аттестация) в себестоимость явно</t>
  </si>
  <si>
    <t xml:space="preserve">Стоимость ИД</t>
  </si>
  <si>
    <t xml:space="preserve">1,3–1,8 млн</t>
  </si>
  <si>
    <t xml:space="preserve">Договор</t>
  </si>
  <si>
    <t xml:space="preserve">Получить проект договора / контракт (без него анализ = предположение)</t>
  </si>
  <si>
    <t xml:space="preserve">Правовой паспорт</t>
  </si>
  <si>
    <t xml:space="preserve">незамедлительно</t>
  </si>
  <si>
    <t xml:space="preserve">точность +</t>
  </si>
  <si>
    <t xml:space="preserve">Идентифицировать Заказчика/ЛПР и режим закупки (гособоронзаказ 275-ФЗ?) — меняет всю финмодель</t>
  </si>
  <si>
    <t xml:space="preserve">режим рентабельности</t>
  </si>
  <si>
    <t xml:space="preserve">Официальный запрос по фактически требуемому объёму выноса КС (правовое основание запроса)</t>
  </si>
  <si>
    <t xml:space="preserve">Защита блока КС</t>
  </si>
  <si>
    <t xml:space="preserve">за 48 ч</t>
  </si>
  <si>
    <t xml:space="preserve">64 710 398</t>
  </si>
  <si>
    <t xml:space="preserve">Внести формулу «НДС сверху» в договор (снимает 2,14 млн ₽ риска)</t>
  </si>
  <si>
    <t xml:space="preserve">Позиция по НДС 22%</t>
  </si>
  <si>
    <t xml:space="preserve">до подписания</t>
  </si>
  <si>
    <t xml:space="preserve">−2 141 525</t>
  </si>
  <si>
    <t xml:space="preserve">Зафиксировать в договоре разграничение объёма (5 спорных зон: железо, опоры, вынос КС, ТП, аттестация)</t>
  </si>
  <si>
    <t xml:space="preserve">Матрица разграничения</t>
  </si>
  <si>
    <t xml:space="preserve">до 117,8 млн</t>
  </si>
  <si>
    <t xml:space="preserve">Позиция по замене гарантийного удержания на банковскую гарантию (высвобождение оборотных средств)</t>
  </si>
  <si>
    <t xml:space="preserve">Обеспечение БГ/ГУ</t>
  </si>
  <si>
    <t xml:space="preserve">после договора</t>
  </si>
  <si>
    <t xml:space="preserve">+3 533 516</t>
  </si>
  <si>
    <t xml:space="preserve">Претензионный порядок, срок оплаты КС-2, пени за просрочку — передать в реестр администратора</t>
  </si>
  <si>
    <t xml:space="preserve">Претензионная готовность</t>
  </si>
  <si>
    <t xml:space="preserve">защита оплаты</t>
  </si>
  <si>
    <t xml:space="preserve">5</t>
  </si>
  <si>
    <t xml:space="preserve">Экономика</t>
  </si>
  <si>
    <t xml:space="preserve">Собрать себестоимость (готово): базовый сценарий — маржа у нуля (−0,6%), ниже красной линии 5%</t>
  </si>
  <si>
    <t xml:space="preserve">Себестоимость, заключение</t>
  </si>
  <si>
    <t xml:space="preserve">−255 710 (базов.)</t>
  </si>
  <si>
    <t xml:space="preserve">Финансовая модель движения денежных средств (БДДС) — после получения договора (аванс, график платежей)</t>
  </si>
  <si>
    <t xml:space="preserve">Себестоимость</t>
  </si>
  <si>
    <t xml:space="preserve">кассовый разрыв</t>
  </si>
  <si>
    <t xml:space="preserve">Пересчёт при режиме гособоронзаказа (правило рентабельности «1%+20%», раздельный учёт, уполномоченный банк)</t>
  </si>
  <si>
    <t xml:space="preserve">Заключение, риск ГОЗ</t>
  </si>
  <si>
    <t xml:space="preserve">после ответа</t>
  </si>
  <si>
    <t xml:space="preserve">меняет модель</t>
  </si>
  <si>
    <t xml:space="preserve">Передать потолки цен по пакетам П-1/П-2 подряду для переговоров (переданы)</t>
  </si>
  <si>
    <t xml:space="preserve">Себестоимость, лист 04</t>
  </si>
  <si>
    <t xml:space="preserve">выполнено</t>
  </si>
  <si>
    <t xml:space="preserve">дисконт +2,23 млн</t>
  </si>
  <si>
    <t xml:space="preserve">6</t>
  </si>
  <si>
    <t xml:space="preserve">Админ.</t>
  </si>
  <si>
    <t xml:space="preserve">Актуализировать паспорт объекта и держать по запросу руководителя (лист 01)</t>
  </si>
  <si>
    <t xml:space="preserve">Стандарт администратора</t>
  </si>
  <si>
    <t xml:space="preserve">управляемость</t>
  </si>
  <si>
    <t xml:space="preserve">Вести реестр писем-запросов, регистрировать исходящие в день готовности (лист 04)</t>
  </si>
  <si>
    <t xml:space="preserve">защита сроков</t>
  </si>
  <si>
    <t xml:space="preserve">Вести сводный реестр рисков в рублях, обновлять еженедельно (лист 06)</t>
  </si>
  <si>
    <t xml:space="preserve">все</t>
  </si>
  <si>
    <t xml:space="preserve">еженедельно</t>
  </si>
  <si>
    <t xml:space="preserve">контроль потерь</t>
  </si>
  <si>
    <t xml:space="preserve">Вести реестр обеспечения (банковские гарантии, удержания) с алертом за 30 дней до истечения</t>
  </si>
  <si>
    <t xml:space="preserve">защита от штрафов</t>
  </si>
  <si>
    <t xml:space="preserve">Расписание совещаний + ежедневный утренний брифинг-светофор по каждому специалисту (лист 10)</t>
  </si>
  <si>
    <t xml:space="preserve">ежедневно 08:00</t>
  </si>
  <si>
    <t xml:space="preserve">координация</t>
  </si>
  <si>
    <t xml:space="preserve">Собрать пакет к возврату руководителю на заключение (настоящий документ)</t>
  </si>
  <si>
    <t xml:space="preserve">передача на заключение</t>
  </si>
  <si>
    <t xml:space="preserve">ИТОГО поручений в протоколе:</t>
  </si>
  <si>
    <t xml:space="preserve">47 позиций · из них критичных: 16</t>
  </si>
  <si>
    <t xml:space="preserve">ПЛАН РАБОТ ПРОЕКТНОГО ОФИСА ПО ТАКТАМ (0–6)</t>
  </si>
  <si>
    <t xml:space="preserve">Последовательность обработки объекта командой. Такты 0–5 пройдены 03.08.2026. Дальнейшие шаги — от Т0 (дата договора)</t>
  </si>
  <si>
    <t xml:space="preserve">Исполнитель</t>
  </si>
  <si>
    <t xml:space="preserve">Содержание</t>
  </si>
  <si>
    <t xml:space="preserve">Результат (что на выходе)</t>
  </si>
  <si>
    <t xml:space="preserve">Статус</t>
  </si>
  <si>
    <t xml:space="preserve">0</t>
  </si>
  <si>
    <t xml:space="preserve">ИИ-администратор (админ)</t>
  </si>
  <si>
    <t xml:space="preserve">Паспорт объекта + реестр первых поручений</t>
  </si>
  <si>
    <t xml:space="preserve">Паспорт SI-2026-KRG-ZAU-СОТ, точка отсчёта команде</t>
  </si>
  <si>
    <t xml:space="preserve">🟢 Выполнено</t>
  </si>
  <si>
    <t xml:space="preserve">ИИ-ГИП (ГИП)</t>
  </si>
  <si>
    <t xml:space="preserve">Инженерная истина до объёмов: сверка проекта со сметой, нормпрофиль</t>
  </si>
  <si>
    <t xml:space="preserve">Заключение по ведомости объёмов — ВОЗВРАТ по блоку выноса КС</t>
  </si>
  <si>
    <t xml:space="preserve">ИИ-сметчик (сметчик)</t>
  </si>
  <si>
    <t xml:space="preserve">Свод по 4 локальным сметам, конъюнктура, пересчёт</t>
  </si>
  <si>
    <t xml:space="preserve">Финрезультат: 3 сценария по судьбе блока КС</t>
  </si>
  <si>
    <t xml:space="preserve">ИИ-ПТО (ПТО)</t>
  </si>
  <si>
    <t xml:space="preserve">Чек-лист старта, реестр исполнительной документации</t>
  </si>
  <si>
    <t xml:space="preserve">4 условия старта (не выполнены), реестр ИД (~27 поз.)</t>
  </si>
  <si>
    <t xml:space="preserve">ИИ-договорник (договор)</t>
  </si>
  <si>
    <t xml:space="preserve">Правовой паспорт, реестр рисков, разграничение объёма</t>
  </si>
  <si>
    <t xml:space="preserve">5 спорных зон, позиция по НДС и обеспечению</t>
  </si>
  <si>
    <t xml:space="preserve">ИИ-экономист (экономист)</t>
  </si>
  <si>
    <t xml:space="preserve">Себестоимость на подтверждённых объёмах</t>
  </si>
  <si>
    <t xml:space="preserve">Маржа у красной линии; 3 условия «не подавать»</t>
  </si>
  <si>
    <t xml:space="preserve">ИИ-снабженец (снабжение)</t>
  </si>
  <si>
    <t xml:space="preserve">Реестр материалов, карта сроков поставки, поставщики</t>
  </si>
  <si>
    <t xml:space="preserve">Объём оборудования под вопросом (давальческое)</t>
  </si>
  <si>
    <t xml:space="preserve">ИИ-подрядчик (подряд)</t>
  </si>
  <si>
    <t xml:space="preserve">Ведомость распределения, отбор субподрядчиков</t>
  </si>
  <si>
    <t xml:space="preserve">Реальный фронт ~37 млн; пакет П-4 (КС) заблокирован</t>
  </si>
  <si>
    <t xml:space="preserve">Т0−</t>
  </si>
  <si>
    <t xml:space="preserve">ИИ-договорник + команда</t>
  </si>
  <si>
    <t xml:space="preserve">Официальные запросы Заказчику/РЖД/проектировщику</t>
  </si>
  <si>
    <t xml:space="preserve">Ответы по объёму КС, объёму поставки, режиму закупки</t>
  </si>
  <si>
    <t xml:space="preserve">🔴 Ожидает</t>
  </si>
  <si>
    <t xml:space="preserve">после ответов</t>
  </si>
  <si>
    <t xml:space="preserve">ИИ-экономист + ИИ-сметчик</t>
  </si>
  <si>
    <t xml:space="preserve">Пересчёт себестоимости и финмодель БДДС на договоре</t>
  </si>
  <si>
    <t xml:space="preserve">Достоверная маржа, знак результата</t>
  </si>
  <si>
    <t xml:space="preserve">🟡 Условно</t>
  </si>
  <si>
    <t xml:space="preserve">Свод в паспорт, реестры, расписание, пакет руководителю</t>
  </si>
  <si>
    <t xml:space="preserve">Настоящий административный протокол</t>
  </si>
  <si>
    <t xml:space="preserve">Заключение</t>
  </si>
  <si>
    <t xml:space="preserve">после Такта 5</t>
  </si>
  <si>
    <t xml:space="preserve">ИИ-руководитель проекта (руководитель)</t>
  </si>
  <si>
    <t xml:space="preserve">Синтез: 🟢/🟡/🔴 по марже, решение по красным вопросам</t>
  </si>
  <si>
    <t xml:space="preserve">Идём / условия входа / стоп + эскалация</t>
  </si>
  <si>
    <t xml:space="preserve">🟡 Ожидает</t>
  </si>
  <si>
    <t xml:space="preserve">КРИТИЧЕСКИЙ ПУТЬ ОБЪЕКТА (предварительно, уточняется по РД)</t>
  </si>
  <si>
    <t xml:space="preserve">Получение договора и режима закупки → официальные запросы (объём КС, поставка оборудования) → согласование с РЖД («окна», акт-допуск) → пакет приказов + электролаборатория → монтаж опор и СИП → монтаж СОТ (после поставки давальческого оборудования) → пусконаладка → спецпроверки и аттестация ФСБ/ФСТЭК → приёмка и ввод.</t>
  </si>
  <si>
    <t xml:space="preserve">РЕЕСТР ИСХОДЯЩИХ ПИСЕМ И ЗАПРОСОВ</t>
  </si>
  <si>
    <t xml:space="preserve">Что готовим и отправляем. Готовит специалист → администратор регистрирует исходящий номер → подписывает руководитель. «Готово к отправке» ≠ «отправлено»</t>
  </si>
  <si>
    <t xml:space="preserve">Адресат</t>
  </si>
  <si>
    <t xml:space="preserve">Тема письма / запроса</t>
  </si>
  <si>
    <t xml:space="preserve">Готовит</t>
  </si>
  <si>
    <t xml:space="preserve">Подписывает</t>
  </si>
  <si>
    <t xml:space="preserve">Кого/что разблокирует</t>
  </si>
  <si>
    <t xml:space="preserve">Срок готовности</t>
  </si>
  <si>
    <t xml:space="preserve">Заказчик (ГКУ/ПУ ФСБ)</t>
  </si>
  <si>
    <t xml:space="preserve">Проект договора / контракт — предоставить</t>
  </si>
  <si>
    <t xml:space="preserve">Правовой аудит, финмодель — без договора всё предположение</t>
  </si>
  <si>
    <t xml:space="preserve">🔴 Готовить</t>
  </si>
  <si>
    <t xml:space="preserve">Идентификация организации, ИНН, ЛПР, источник финансирования, режим закупки (44-ФЗ / гособоронзаказ 275-ФЗ)</t>
  </si>
  <si>
    <t xml:space="preserve">Финмодель (режим рентабельности), обеспечение, аванс</t>
  </si>
  <si>
    <t xml:space="preserve">Заказчик + РЖД (ЮУЖД)</t>
  </si>
  <si>
    <t xml:space="preserve">Фактически требуемый объём выноса/возврата контактной сети (в смете ~200 км при физике ~17 км)</t>
  </si>
  <si>
    <t xml:space="preserve">Чистка НМЦК от 64,71 млн «воздуха»; знак маржи</t>
  </si>
  <si>
    <t xml:space="preserve">Разграничение поставки оборудования СОТ: «железо» (камеры, серверы, РЛС, крипто) — давальческое Заказчика? Спецификация-приложение</t>
  </si>
  <si>
    <t xml:space="preserve">Достоверность себестоимости (16–46 млн)</t>
  </si>
  <si>
    <t xml:space="preserve">Металл опор/стоек — чья поставка (наша в цене или давальческое)</t>
  </si>
  <si>
    <t xml:space="preserve">Разграничение объёма (5,06–7,54 млн)</t>
  </si>
  <si>
    <t xml:space="preserve">🟡 Готовить</t>
  </si>
  <si>
    <t xml:space="preserve">Внешнее электроснабжение (трансформаторная подстанция, 2-й ввод, АВР) — обеспечивает Заказчик</t>
  </si>
  <si>
    <t xml:space="preserve">Снятие затрат с подрядчика</t>
  </si>
  <si>
    <t xml:space="preserve">Аттестация объекта информатизации (приказ ФСТЭК №77) — наш объём или Заказчика</t>
  </si>
  <si>
    <t xml:space="preserve">Блокер ввода; формулировка договора</t>
  </si>
  <si>
    <t xml:space="preserve">Перечень электронной исполнительной документации (ГОСТ Р 70108-2025), число экземпляров</t>
  </si>
  <si>
    <t xml:space="preserve">Условие старта ИД</t>
  </si>
  <si>
    <t xml:space="preserve">Условия аванса, обеспечения исполнения, гарантийного удержания, срок оплаты КС-2</t>
  </si>
  <si>
    <t xml:space="preserve">Модель движения денежных средств (БДДС)</t>
  </si>
  <si>
    <t xml:space="preserve">после проекта договора</t>
  </si>
  <si>
    <t xml:space="preserve">Позиция по НДС 22%: формула «НДС сверху» либо механизм изменения цены госконтракта</t>
  </si>
  <si>
    <t xml:space="preserve">Снятие риска 2,14 млн ₽</t>
  </si>
  <si>
    <t xml:space="preserve">РЖД / ЭЧ ЮУЖД</t>
  </si>
  <si>
    <t xml:space="preserve">Порядок работ на контактной сети в «окна», кто исполнитель (бригада ЭЧ), чьи риски простоя; акт-допуск</t>
  </si>
  <si>
    <t xml:space="preserve">Разблокировка пакета П-4</t>
  </si>
  <si>
    <t xml:space="preserve">Проектировщик (АО ОЭС)</t>
  </si>
  <si>
    <t xml:space="preserve">Устаревшие/ошибочные нормы в пояснительной записке (4 ссылки); расхождения (сплит Candy/LG, камеры 191/202, контейнер 1/2)</t>
  </si>
  <si>
    <t xml:space="preserve">Устранение замечаний, чистая РД</t>
  </si>
  <si>
    <t xml:space="preserve">до экспертизы</t>
  </si>
  <si>
    <t xml:space="preserve">Поставщики (СИП, кабель, опоры, контейнер)</t>
  </si>
  <si>
    <t xml:space="preserve">Запрос коммерческих предложений с доставкой до ст. Зауралье</t>
  </si>
  <si>
    <t xml:space="preserve">Достоверные закупочные цены</t>
  </si>
  <si>
    <t xml:space="preserve">07–09.08 (относит.)</t>
  </si>
  <si>
    <t xml:space="preserve">🟡 В работе</t>
  </si>
  <si>
    <t xml:space="preserve">Субподрядчики (СБ «Парсек» и др.)</t>
  </si>
  <si>
    <t xml:space="preserve">Запрос предложений на монтаж СОТ / электромонтаж ЭОМ; лицензии, отчётность</t>
  </si>
  <si>
    <t xml:space="preserve">Отбор кандидатов</t>
  </si>
  <si>
    <t xml:space="preserve">Электролаборатория (аккредит.)</t>
  </si>
  <si>
    <t xml:space="preserve">Проект договора на электроизмерения (0,4 кВ, заземление, СИП)</t>
  </si>
  <si>
    <t xml:space="preserve">Условие оплаты (КС-2)</t>
  </si>
  <si>
    <t xml:space="preserve">Правило администратора: письмо регистрируется исходящим номером в день готовности и отправляется в тот же день. Реестр входящих ответов ведётся параллельно (дата, отправитель, тема, срок ответа).</t>
  </si>
  <si>
    <t xml:space="preserve">РАЗГРАНИЧЕНИЕ ОБЪЁМА РАБОТ И ПОСТАВОК</t>
  </si>
  <si>
    <t xml:space="preserve">5 спорных зон на десятки млн ₽. Пока не закреплено письменно в договоре — риск, что затраты лягут на подрядчика. Ключевой лист для генподрядчика</t>
  </si>
  <si>
    <t xml:space="preserve">Зона</t>
  </si>
  <si>
    <t xml:space="preserve">Что это</t>
  </si>
  <si>
    <t xml:space="preserve">Сумма-ориентир, ₽</t>
  </si>
  <si>
    <t xml:space="preserve">Рекомендуемый исполнитель</t>
  </si>
  <si>
    <t xml:space="preserve">Правовая форма</t>
  </si>
  <si>
    <t xml:space="preserve">Что прописать в договоре</t>
  </si>
  <si>
    <t xml:space="preserve">S-1</t>
  </si>
  <si>
    <t xml:space="preserve">«Железо» СОТ: камеры, серверы хранения, РЛС, криптошлюзы, коммутаторы, ИБП</t>
  </si>
  <si>
    <t xml:space="preserve">15 810 000 – 45 600 000</t>
  </si>
  <si>
    <t xml:space="preserve">Заказчик (давальческое)</t>
  </si>
  <si>
    <t xml:space="preserve">ст. 713, 714 ГК — переработка давальческого + ответственное хранение</t>
  </si>
  <si>
    <t xml:space="preserve">«Оборудование СОТ по спецификации №__ поставляет Заказчик (давальческое). Передача — по акту. Подрядчик — монтаж и ответственное хранение. НДС подрядчика — только на монтаж»</t>
  </si>
  <si>
    <t xml:space="preserve">S-2</t>
  </si>
  <si>
    <t xml:space="preserve">Металл опор и стоек</t>
  </si>
  <si>
    <t xml:space="preserve">5 061 500 – 7 540 840</t>
  </si>
  <si>
    <t xml:space="preserve">Уточнить (смешанно)</t>
  </si>
  <si>
    <t xml:space="preserve">ст. 704, 745 ГК — иждивение сторон</t>
  </si>
  <si>
    <t xml:space="preserve">«Поставка опор/стоек: [Подрядчик/Заказчик]. Если Подрядчик — стоимость включена в цену п.__ (допсмета)». Без этого — риск поставки сверх сметы</t>
  </si>
  <si>
    <t xml:space="preserve">S-3</t>
  </si>
  <si>
    <t xml:space="preserve">Блок «выноса/возврата контактной сети 27,5 кВ»</t>
  </si>
  <si>
    <t xml:space="preserve">Заказчик или отдельный этап</t>
  </si>
  <si>
    <t xml:space="preserve">ст. 706 ГК (субподряд с ЭЧ РЖД); ст. 709 (приблизит. цена)</t>
  </si>
  <si>
    <t xml:space="preserve">«Работы на КС под напряжением выполняет ЭЧ РЖД по отдельному соглашению; объём — по факту. Из твёрдой цены Подрядчика исключены». Иначе — деньги за воздух и риск ст. 159 УК</t>
  </si>
  <si>
    <t xml:space="preserve">S-4</t>
  </si>
  <si>
    <t xml:space="preserve">Внешнее электроснабжение (трансформаторная подстанция, 2-й ввод, АВР)</t>
  </si>
  <si>
    <t xml:space="preserve">на «отдельный проект»</t>
  </si>
  <si>
    <t xml:space="preserve">ст. 704, 747 ГК (обеспечение Заказчиком)</t>
  </si>
  <si>
    <t xml:space="preserve">«Внешнее электроснабжение обеспечивает Заказчик. Границы балансовой принадлежности — акт». Иначе повесят на подрядчика</t>
  </si>
  <si>
    <t xml:space="preserve">S-5</t>
  </si>
  <si>
    <t xml:space="preserve">Аттестация объекта информатизации (приказ ФСТЭК №77)</t>
  </si>
  <si>
    <t xml:space="preserve">оценка лицензиата</t>
  </si>
  <si>
    <t xml:space="preserve">Уточнить</t>
  </si>
  <si>
    <t xml:space="preserve">приказ ФСТЭК №77; ФЗ 5485-1</t>
  </si>
  <si>
    <t xml:space="preserve">«Аттестационные испытания и аттестат соответствия обеспечивает [Заказчик/Подрядчик]. Лицензии ФСБ/ФСТЭК — приложение». Без аттестата — нет ввода</t>
  </si>
  <si>
    <t xml:space="preserve">ПОЧЕМУ ЭТО ПЕРВЫЙ ПРИОРИТЕТ. Если весь спорный объём (железо 45,6 + опоры 7,5 + вынос КС 64,7 = до 117,8 млн ₽) по умолчанию окажется «наш» без давальческой схемы и без исключения блока КС — себестоимость превысит всю цену договора. Договор без разграничения объёма = подписанный убыток. Это правовой стоп до финмодели.</t>
  </si>
  <si>
    <t xml:space="preserve">СВОДНЫЙ РЕЕСТР РИСКОВ (в рублях)</t>
  </si>
  <si>
    <t xml:space="preserve">Каждый риск — с суммой под угрозой, ответственным и мерой. Обновляется еженедельно. Источник: заключения всех специалистов</t>
  </si>
  <si>
    <t xml:space="preserve">Риск</t>
  </si>
  <si>
    <t xml:space="preserve">Сумма под угрозой, ₽</t>
  </si>
  <si>
    <t xml:space="preserve">Кто ведёт</t>
  </si>
  <si>
    <t xml:space="preserve">Мера / что делаем</t>
  </si>
  <si>
    <t xml:space="preserve">Блок «выноса КС» не обоснован проектом — нельзя закрыть при КС-2</t>
  </si>
  <si>
    <t xml:space="preserve">ИИ-договорник/ИИ-ГИП</t>
  </si>
  <si>
    <t xml:space="preserve">Официальный запрос в РЖД/Заказчику; чистка НМЦК через аудит Гл.12; недопуск в акты</t>
  </si>
  <si>
    <t xml:space="preserve">Оборудование СОТ окажется нашей поставкой (не давальческим)</t>
  </si>
  <si>
    <t xml:space="preserve">ИИ-договорник/ИИ-снабженец</t>
  </si>
  <si>
    <t xml:space="preserve">Письменно закрепить давальческую схему до подписания (акты приёма-передачи)</t>
  </si>
  <si>
    <t xml:space="preserve">Металл опор ляжет сверх сметы</t>
  </si>
  <si>
    <t xml:space="preserve">ИИ-сметчик/ИИ-снабженец</t>
  </si>
  <si>
    <t xml:space="preserve">Разнести стоимость (СМР/материалы); запросить чью поставку</t>
  </si>
  <si>
    <t xml:space="preserve">Простои по «окнам» РЖД (в смете не заложены)</t>
  </si>
  <si>
    <t xml:space="preserve">ИИ-договорник/ИИ-подрядчик</t>
  </si>
  <si>
    <t xml:space="preserve">Зеркальные условия расчётов; продление срока и компенсация (ст. 708 ГК)</t>
  </si>
  <si>
    <t xml:space="preserve">Недобор НДС при твёрдой цене «включая НДС 20%»</t>
  </si>
  <si>
    <t xml:space="preserve">ИИ-договорник/ИИ-экономист</t>
  </si>
  <si>
    <t xml:space="preserve">Формула «НДС сверху» в договор</t>
  </si>
  <si>
    <t xml:space="preserve">Стоимость производства ИД сверх сметы</t>
  </si>
  <si>
    <t xml:space="preserve">ИИ-ПТО/ИИ-экономист</t>
  </si>
  <si>
    <t xml:space="preserve">Заложить в себестоимость явно; уточнить объём аттестации ФСТЭК</t>
  </si>
  <si>
    <t xml:space="preserve">Двойной счёт пусконаладочных работ в смете</t>
  </si>
  <si>
    <t xml:space="preserve">Снять при экспертизе (ст. 94 44-ФЗ)</t>
  </si>
  <si>
    <t xml:space="preserve">Режим гособоронзаказа (275-ФЗ) не установлен — правило «1%+20%», раздельный учёт</t>
  </si>
  <si>
    <t xml:space="preserve">меняет всю модель</t>
  </si>
  <si>
    <t xml:space="preserve">Установить режим до подписания; пересчёт финмодели</t>
  </si>
  <si>
    <t xml:space="preserve">Договор не получен — весь анализ предварительный (±15%)</t>
  </si>
  <si>
    <t xml:space="preserve">точность</t>
  </si>
  <si>
    <t xml:space="preserve">Получить проект договора незамедлительно</t>
  </si>
  <si>
    <t xml:space="preserve">Плановый срок не задан — все сроки поставки относительны</t>
  </si>
  <si>
    <t xml:space="preserve">график</t>
  </si>
  <si>
    <t xml:space="preserve">ИИ-администратор/ИИ-договорник</t>
  </si>
  <si>
    <t xml:space="preserve">Установить Т0 при договоре; пересчёт карты сроков в даты</t>
  </si>
  <si>
    <t xml:space="preserve">ИТОГО оцифрованный риск (без «меняет модель»):</t>
  </si>
  <si>
    <t xml:space="preserve">₽</t>
  </si>
  <si>
    <t xml:space="preserve">УСЛОВИЯ СТАРТА И БЛОКЕРЫ ОПЛАТЫ/ВВОДА</t>
  </si>
  <si>
    <t xml:space="preserve">Что должно быть выполнено до первой лопаты и что блокирует подписание КС-2 и ввод. Источник: чек-лист старта ПТО (ИИ-ПТО)</t>
  </si>
  <si>
    <t xml:space="preserve">A. УСЛОВИЯ ДО ПЕРВОЙ ЛОПАТЫ (без них выход на объект преждевременный)</t>
  </si>
  <si>
    <t xml:space="preserve">Условие</t>
  </si>
  <si>
    <t xml:space="preserve">Что конкретно нужно</t>
  </si>
  <si>
    <t xml:space="preserve">Ответственный / срок</t>
  </si>
  <si>
    <t xml:space="preserve">Пакет приказов о назначении ответственных</t>
  </si>
  <si>
    <t xml:space="preserve">🔴 нет</t>
  </si>
  <si>
    <t xml:space="preserve">Ответственные: производство работ, ИД, стройконтроль, электрохозяйство, работы у КС/на путях, режим (гостайна)</t>
  </si>
  <si>
    <t xml:space="preserve">ГП + ИИ-администратор / до Т0</t>
  </si>
  <si>
    <t xml:space="preserve">Договор с аккредитованной электролабораторией</t>
  </si>
  <si>
    <t xml:space="preserve">Область: электроизмерения 0,4 кВ, сопротивление изоляции, петля фаза-ноль, заземление, испытание СИП. Узкая регистрация = протоколы недействительны</t>
  </si>
  <si>
    <t xml:space="preserve">ГП / до электромонтажа</t>
  </si>
  <si>
    <t xml:space="preserve">ПОС и ППР согласованы</t>
  </si>
  <si>
    <t xml:space="preserve">Разделы: работы у КС 27,5 кВ, на действующих путях, «окна» РЖД, ГНБ-проколы. Технологические карты</t>
  </si>
  <si>
    <t xml:space="preserve">Проектировщик/ГП / до Т0</t>
  </si>
  <si>
    <t xml:space="preserve">Перечень электронной ИД + шаблоны по 344/пр</t>
  </si>
  <si>
    <t xml:space="preserve">Заказчик утверждает перечень до старта (в договор). Шаблоны актов — по приказу 344/пр</t>
  </si>
  <si>
    <t xml:space="preserve">Заказчик + ИИ-договорник / до Т0</t>
  </si>
  <si>
    <t xml:space="preserve">Лицензии подрядчика СОТ (ФСБ + ФСТЭК)</t>
  </si>
  <si>
    <t xml:space="preserve">🔴 проверить</t>
  </si>
  <si>
    <t xml:space="preserve">Действующие лицензии: работа со сведениями гостайны + техзащита информации. Копии в дело</t>
  </si>
  <si>
    <t xml:space="preserve">ИИ-подрядчик + ИИ-ПТО / до П-2</t>
  </si>
  <si>
    <t xml:space="preserve">Допуски персонала (гостайна + работы на путях)</t>
  </si>
  <si>
    <t xml:space="preserve">Формы допуска к гостайне; допуски РЖД, группы электробезопасности (до V у КС)</t>
  </si>
  <si>
    <t xml:space="preserve">ГП/подрядчики / до работ</t>
  </si>
  <si>
    <t xml:space="preserve">Акт-допуск на территорию РЖД</t>
  </si>
  <si>
    <t xml:space="preserve">Форма по СП 48.13330.2019. Согласование границ, ответственных, мер безопасности у путей/КС</t>
  </si>
  <si>
    <t xml:space="preserve">ГП + РЖД / до выхода</t>
  </si>
  <si>
    <t xml:space="preserve">Согласование «окон» РЖД + порядок у КС</t>
  </si>
  <si>
    <t xml:space="preserve">Заявка на «окна» через РЖД/ЭЧ ЮУЖД. Наряды-допуски. Без «окон» работы у путей невозможны</t>
  </si>
  <si>
    <t xml:space="preserve">ГП + РЖД + ИИ-договорник / по этапам</t>
  </si>
  <si>
    <t xml:space="preserve">B. ЧТО БЛОКИРУЕТ ПОДПИСАНИЕ КС-2 И ВВОД</t>
  </si>
  <si>
    <t xml:space="preserve">Блокер</t>
  </si>
  <si>
    <t xml:space="preserve">Тип</t>
  </si>
  <si>
    <t xml:space="preserve">Почему блокирует</t>
  </si>
  <si>
    <t xml:space="preserve">Как снять</t>
  </si>
  <si>
    <t xml:space="preserve">Блок «выноса КС» в КС-2</t>
  </si>
  <si>
    <t xml:space="preserve">🔴 КС-2</t>
  </si>
  <si>
    <t xml:space="preserve">Нельзя актировать невыполненную работу. Если РЖД не подтвердил вынос — работы физически нет</t>
  </si>
  <si>
    <t xml:space="preserve">Ответ РЖД или аудит Гл.12</t>
  </si>
  <si>
    <t xml:space="preserve">Нет аттестации помещений (ФСТЭК-77)</t>
  </si>
  <si>
    <t xml:space="preserve">🔴 ввод</t>
  </si>
  <si>
    <t xml:space="preserve">Категорированный объект не вводится без аттестата соответствия</t>
  </si>
  <si>
    <t xml:space="preserve">Лицензиат ФСТЭК; уточнить объём</t>
  </si>
  <si>
    <t xml:space="preserve">Спецпроверки и специсследования не проведены</t>
  </si>
  <si>
    <t xml:space="preserve">Проверки технических средств — до ввода режимного объекта</t>
  </si>
  <si>
    <t xml:space="preserve">Лицензиат ФСБ (в смете Гл.9)</t>
  </si>
  <si>
    <t xml:space="preserve">Нет протоколов электроизмерений / электролаборатория без регистрации</t>
  </si>
  <si>
    <t xml:space="preserve">Электромонтаж без техотчёта — акты неполные, КС-2 не подписывается</t>
  </si>
  <si>
    <t xml:space="preserve">Договор с электролабораторией</t>
  </si>
  <si>
    <t xml:space="preserve">Скрытые работы закрыты без освидетельствования</t>
  </si>
  <si>
    <t xml:space="preserve">Заземление опор, ГНБ-проколы, прокладка кабеля засыпаны без актов</t>
  </si>
  <si>
    <t xml:space="preserve">Уведомление стройконтроля за 3 р.д.; акт в день приёмки</t>
  </si>
  <si>
    <t xml:space="preserve">ДОГОВОРНЫЕ УСЛОВИЯ, ОБЕСПЕЧЕНИЕ, КЛЮЧЕВЫЕ СРОКИ</t>
  </si>
  <si>
    <t xml:space="preserve">Заполняется по получении проекта договора. Жёлтым — что установить. Источник: правовой паспорт и формулировки (ИИ-договорник)</t>
  </si>
  <si>
    <t xml:space="preserve">КЛЮЧЕВЫЕ ФОРМУЛИРОВКИ (готовые заготовки под протокол разногласий)</t>
  </si>
  <si>
    <t xml:space="preserve">Предмет пункта</t>
  </si>
  <si>
    <t xml:space="preserve">Наша редакция (защита)</t>
  </si>
  <si>
    <t xml:space="preserve">Цена и НДС</t>
  </si>
  <si>
    <t xml:space="preserve">«Цена ___ ₽, кроме того НДС по ставке, установленной законодательством на дату реализации» (НДС сверху — снимает спор о 2%)</t>
  </si>
  <si>
    <t xml:space="preserve">Объём оборудования</t>
  </si>
  <si>
    <t xml:space="preserve">«Оборудование СОТ по спец. №__ — давальческое Заказчика, передаётся по акту; Подрядчик — монтаж и ответственное хранение (ст. 714 ГК)»</t>
  </si>
  <si>
    <t xml:space="preserve">Блок выноса КС</t>
  </si>
  <si>
    <t xml:space="preserve">«Работы на КС 27,5 кВ под напряжением выполняет ЭЧ РЖД; в твёрдую цену Подрядчика не входят. Объём выноса — по подтверждённой РД ведомости»</t>
  </si>
  <si>
    <t xml:space="preserve">«Окна» РЖД / простои</t>
  </si>
  <si>
    <t xml:space="preserve">«Заказчик обеспечивает «окна» и доступ; простой не по вине Подрядчика — продление срока (ст. 708) + компенсация фактических затрат»</t>
  </si>
  <si>
    <t xml:space="preserve">Срок оплаты КС-2</t>
  </si>
  <si>
    <t xml:space="preserve">«Оплата в течение __ банковских дней с подписания КС-2 обеими сторонами; пени за просрочку 1/300 ключевой ставки ЦБ»</t>
  </si>
  <si>
    <t xml:space="preserve">Изменение объёмов</t>
  </si>
  <si>
    <t xml:space="preserve">«Изменение объёма/цены — только допсоглашением (ст. 95 44-ФЗ / ст. 450 ГК). Оптимизация — через протокол техрешения или изменение РД (ст. 710, 744)»</t>
  </si>
  <si>
    <t xml:space="preserve">Расторжение</t>
  </si>
  <si>
    <t xml:space="preserve">«Основания одностороннего отказа — симметричные; процедура и сроки — строго по ч. 8–23 ст. 95 44-ФЗ»</t>
  </si>
  <si>
    <t xml:space="preserve">Гарантийный срок</t>
  </si>
  <si>
    <t xml:space="preserve">«Гарантийный срок — __ (по контракту); на давальческое оборудование гарантия — поставщика/Заказчика, не Подрядчика»</t>
  </si>
  <si>
    <t xml:space="preserve">ОБЕСПЕЧЕНИЕ И СРОКИ (установить по договору)</t>
  </si>
  <si>
    <t xml:space="preserve">Значение / действие</t>
  </si>
  <si>
    <t xml:space="preserve">Аванс</t>
  </si>
  <si>
    <t xml:space="preserve">⚠ не известен — установить размер и порядок гашения. Максимальный аванс улучшает движение денежных средств</t>
  </si>
  <si>
    <t xml:space="preserve">Обеспечение исполнения</t>
  </si>
  <si>
    <t xml:space="preserve">⚠ не известно — деньги или независимая (банковская) гарантия. При гособоронзаказе — уполномоченный банк</t>
  </si>
  <si>
    <t xml:space="preserve">Гарантийное удержание</t>
  </si>
  <si>
    <t xml:space="preserve">⚠ не известно. При наличии — считать замену на банковскую гарантию (эффект +3,53 млн ₽ высвобождения оборотных средств)</t>
  </si>
  <si>
    <t xml:space="preserve">Замена удержания на банковскую гарантию</t>
  </si>
  <si>
    <t xml:space="preserve">Основание — ст. 96 44-ФЗ. Стоимость гарантии ~1,5%/год ниже блокировки удержания. Готовит ИИ-договорник после договора</t>
  </si>
  <si>
    <t xml:space="preserve">Претензионный порядок</t>
  </si>
  <si>
    <t xml:space="preserve">30 календарных дней до иска (ст. 4 АПК). Претензия — с расчётом в рублях</t>
  </si>
  <si>
    <t xml:space="preserve">Срок исковой давности</t>
  </si>
  <si>
    <t xml:space="preserve">общий 3 года (ст. 196, 200 ГК)</t>
  </si>
  <si>
    <t xml:space="preserve">Реестр обеспечения</t>
  </si>
  <si>
    <t xml:space="preserve">Ведёт администратор: документ, сумма, дата истечения, дней до, статус. Алерт за 30 дней</t>
  </si>
  <si>
    <t xml:space="preserve">ФИНАНСОВЫЙ РЕЗУЛЬТАТ — 3 СЦЕНАРИЯ ПО СУДЬБЕ БЛОКА КС</t>
  </si>
  <si>
    <t xml:space="preserve">Знак маржи определяет судьба блока «выноса КС». Красная линия — 5%. Опорный источник — экономист (ИИ-экономист). Цифры — ориентир, точный расчёт после договора и РД</t>
  </si>
  <si>
    <t xml:space="preserve">A. ОРИЕНТИР ПО МАРЖЕ (оценка сметчика — валовая, до косвенных затрат)</t>
  </si>
  <si>
    <t xml:space="preserve">Сценарий</t>
  </si>
  <si>
    <t xml:space="preserve">Суть</t>
  </si>
  <si>
    <t xml:space="preserve">Маржа, ₽</t>
  </si>
  <si>
    <t xml:space="preserve">% к выручке</t>
  </si>
  <si>
    <t xml:space="preserve">Вывод</t>
  </si>
  <si>
    <t xml:space="preserve">А</t>
  </si>
  <si>
    <t xml:space="preserve">РЖД подтвердил вынос КС — делаем и закрываем</t>
  </si>
  <si>
    <t xml:space="preserve">приемлемо только при письме РЖД + допуске ЭЧ</t>
  </si>
  <si>
    <t xml:space="preserve">Б</t>
  </si>
  <si>
    <t xml:space="preserve">Объём КС снят (аудит Гл.12) — БАЗОВЫЙ</t>
  </si>
  <si>
    <t xml:space="preserve">честный объект ~40 млн, маржа реалистична</t>
  </si>
  <si>
    <t xml:space="preserve">В</t>
  </si>
  <si>
    <t xml:space="preserve">Твёрдая цена, вынос не делаем — деньги за воздух</t>
  </si>
  <si>
    <t xml:space="preserve">НЕ рекомендуется: нельзя закрыть при КС-2, риск ФАС и ст. 159 УК</t>
  </si>
  <si>
    <t xml:space="preserve">B. СЕБЕСТОИМОСТЬ «СНИЗУ ВВЕРХ» на реальном фронте ~40 млн (опорный расчёт — ИИ-экономист)</t>
  </si>
  <si>
    <t xml:space="preserve">Показатель</t>
  </si>
  <si>
    <t xml:space="preserve">Оптимистичный</t>
  </si>
  <si>
    <t xml:space="preserve">Нормальный</t>
  </si>
  <si>
    <t xml:space="preserve">Пессимистичный</t>
  </si>
  <si>
    <t xml:space="preserve">Комментарий</t>
  </si>
  <si>
    <t xml:space="preserve">Выручка без НДС (реальный фронт, блок КС снят)</t>
  </si>
  <si>
    <t xml:space="preserve">без блока КС</t>
  </si>
  <si>
    <t xml:space="preserve">Себестоимость (СМР+материалы+АХР+ИД+вычеты)</t>
  </si>
  <si>
    <t xml:space="preserve">расчёт снизу вверх</t>
  </si>
  <si>
    <t xml:space="preserve">ПРИБЫЛЬ/УБЫТОК до налога</t>
  </si>
  <si>
    <t xml:space="preserve">выручка минус себестоимость</t>
  </si>
  <si>
    <t xml:space="preserve">% к выручке (красная линия 5%)</t>
  </si>
  <si>
    <t xml:space="preserve">ВЫВОД ЭКОНОМИСТА</t>
  </si>
  <si>
    <t xml:space="preserve">Базовый (нормальный) сценарий даёт маржу у нуля (−0,6%) — НИЖЕ красной линии 5%. Брать объект нельзя, пока не разрешены три вопроса: (1) блок «выноса КС» вычищен из НМЦК; (2) оборудование и опоры письменно давальческие; (3) НДС «сверху» + установлен режим закупки. Единственный рычаг в плюс — самовыполнение ЭОМ своими бригадами (+ до 7%). Целевые 8–9% достижимы только при идеальном стечении. Точность ±15% (нет договора и РД).</t>
  </si>
  <si>
    <t xml:space="preserve">РАСПИСАНИЕ СОВЕЩАНИЙ И УТРЕННИЙ БРИФИНГ</t>
  </si>
  <si>
    <t xml:space="preserve">Регулярные и внеплановые совещания. Повестку формирует руководитель — администратор оформляет и рассылает. Протокол — в день совещания</t>
  </si>
  <si>
    <t xml:space="preserve">A. РЕГУЛЯРНЫЕ СОВЕЩАНИЯ</t>
  </si>
  <si>
    <t xml:space="preserve">Совещание</t>
  </si>
  <si>
    <t xml:space="preserve">Когда</t>
  </si>
  <si>
    <t xml:space="preserve">Состав</t>
  </si>
  <si>
    <t xml:space="preserve">Повестка (шаблон)</t>
  </si>
  <si>
    <t xml:space="preserve">Формат</t>
  </si>
  <si>
    <t xml:space="preserve">Утренний брифинг-светофор</t>
  </si>
  <si>
    <t xml:space="preserve">ИИ-руководитель проекта + все</t>
  </si>
  <si>
    <t xml:space="preserve">Статус по каждому специалисту (🟢/🟡/🔴) + ближайший срок. Решение 1–3 вопросов</t>
  </si>
  <si>
    <t xml:space="preserve">5–10 мин</t>
  </si>
  <si>
    <t xml:space="preserve">Еженедельный штаб</t>
  </si>
  <si>
    <t xml:space="preserve">Чт 14:00</t>
  </si>
  <si>
    <t xml:space="preserve">вся команда</t>
  </si>
  <si>
    <t xml:space="preserve">Статусы поручений · финансы · риски · письма · следующая неделя</t>
  </si>
  <si>
    <t xml:space="preserve">до 60 мин</t>
  </si>
  <si>
    <t xml:space="preserve">Оперативка по блоку КС</t>
  </si>
  <si>
    <t xml:space="preserve">по ответу РЖД</t>
  </si>
  <si>
    <t xml:space="preserve">ИИ-руководитель проекта+ИИ-договорник+ИИ-ГИП+ИИ-подрядчик</t>
  </si>
  <si>
    <t xml:space="preserve">Разблокировка пакета П-4; решение А/Б/В по выносу КС</t>
  </si>
  <si>
    <t xml:space="preserve">по событию</t>
  </si>
  <si>
    <t xml:space="preserve">Совещание с Заказчиком</t>
  </si>
  <si>
    <t xml:space="preserve">по договорённости</t>
  </si>
  <si>
    <t xml:space="preserve">ИИ-руководитель проекта + ИИ-договорник</t>
  </si>
  <si>
    <t xml:space="preserve">Разграничение объёма · договор · НДС · режим закупки · согласование КС-2</t>
  </si>
  <si>
    <t xml:space="preserve">Оперативка по надзору (РЖД/ГСН)</t>
  </si>
  <si>
    <t xml:space="preserve">по выходам</t>
  </si>
  <si>
    <t xml:space="preserve">ИИ-ПТО + ИИ-руководитель проекта</t>
  </si>
  <si>
    <t xml:space="preserve">Акт-допуск, «окна», приёмка скрытых работ, статус предписаний</t>
  </si>
  <si>
    <t xml:space="preserve">B. ОБРАЗЕЦ УТРЕННЕГО БРИФИНГА-СВЕТОФОРА (по состоянию 03.08.2026)</t>
  </si>
  <si>
    <t xml:space="preserve">Специалист</t>
  </si>
  <si>
    <t xml:space="preserve">Что вижу сегодня</t>
  </si>
  <si>
    <t xml:space="preserve">Ближайший шаг</t>
  </si>
  <si>
    <t xml:space="preserve">ИИ-руководитель проекта (РП)</t>
  </si>
  <si>
    <t xml:space="preserve">🟡</t>
  </si>
  <si>
    <t xml:space="preserve">Заключение по объекту жёлтый; ждёт ответы Заказчика/РЖД</t>
  </si>
  <si>
    <t xml:space="preserve">Синтез после Такта 5</t>
  </si>
  <si>
    <t xml:space="preserve">🟢</t>
  </si>
  <si>
    <t xml:space="preserve">Ведомость объёмов возвращена; замечания оформлены</t>
  </si>
  <si>
    <t xml:space="preserve">Передал по конвейеру</t>
  </si>
  <si>
    <t xml:space="preserve">ИИ-сметчик (смета)</t>
  </si>
  <si>
    <t xml:space="preserve">Свод сходится; финрезультат 3 сценария готов</t>
  </si>
  <si>
    <t xml:space="preserve">Пересчёт после ответа РЖД</t>
  </si>
  <si>
    <t xml:space="preserve">3 предложения по материалам к 07.08</t>
  </si>
  <si>
    <t xml:space="preserve">Обзвон 72 ч, «Парсек» первым</t>
  </si>
  <si>
    <t xml:space="preserve">🔴</t>
  </si>
  <si>
    <t xml:space="preserve">ИД не начата; 4 условия старта не выполнены</t>
  </si>
  <si>
    <t xml:space="preserve">Пакет приказов + электролаборатория</t>
  </si>
  <si>
    <t xml:space="preserve">Договор не получен; режим закупки не установлен</t>
  </si>
  <si>
    <t xml:space="preserve">Официальные запросы за 48 ч</t>
  </si>
  <si>
    <t xml:space="preserve">Маржа у нуля в базовом; 3 условия «не брать»</t>
  </si>
  <si>
    <t xml:space="preserve">Финмодель БДДС после договора</t>
  </si>
  <si>
    <t xml:space="preserve">ВЗАИМОДЕЙСТВИЕ СПЕЦИАЛИСТОВ (документная цепочка)</t>
  </si>
  <si>
    <t xml:space="preserve">Кто от кого что получает и кому передаёт. Порядок обработки: ИИ-ГИП → ИИ-сметчик → ИИ-снабженец/ИИ-подрядчик → ИИ-ПТО/ИИ-договорник → ИИ-экономист → ИИ-администратор → руководитель</t>
  </si>
  <si>
    <t xml:space="preserve">Получает от</t>
  </si>
  <si>
    <t xml:space="preserve">Что именно</t>
  </si>
  <si>
    <t xml:space="preserve">Передаёт кому</t>
  </si>
  <si>
    <t xml:space="preserve">Руководитель</t>
  </si>
  <si>
    <t xml:space="preserve">Базовые данные объекта, решения</t>
  </si>
  <si>
    <t xml:space="preserve">Всей команде — паспорт, реестры, расписание</t>
  </si>
  <si>
    <t xml:space="preserve">Проектная документация СОТ+ЭОМ, сметы</t>
  </si>
  <si>
    <t xml:space="preserve">ИИ-сметчику — ведомость объёмов; ИИ-снабженцу — спецификация; ИИ-подрядчику — техтребования</t>
  </si>
  <si>
    <t xml:space="preserve">Ведомость объёмов с обоснованием</t>
  </si>
  <si>
    <t xml:space="preserve">ИИ-экономисту — свод и цены; ИИ-снабженцу/ИИ-подрядчику — конъюнктура</t>
  </si>
  <si>
    <t xml:space="preserve">ИИ-сметчик, ИИ-ГИП</t>
  </si>
  <si>
    <t xml:space="preserve">Объёмы, спецификация, ведомость опор</t>
  </si>
  <si>
    <t xml:space="preserve">ИИ-экономисту — цены и сроки поставки; ИИ-договорнику — статус давальческого; ИИ-ПТО — сертификаты</t>
  </si>
  <si>
    <t xml:space="preserve">ИИ-сметчик, ИИ-экономист</t>
  </si>
  <si>
    <t xml:space="preserve">Объёмы, потолки цен, критический график</t>
  </si>
  <si>
    <t xml:space="preserve">ИИ-руководителю проекта — отбор кандидатов; ИИ-договорнику — данные субподрядчиков</t>
  </si>
  <si>
    <t xml:space="preserve">Проектировщик, ИИ-ГИП</t>
  </si>
  <si>
    <t xml:space="preserve">Проектная документация, реестр объёмов</t>
  </si>
  <si>
    <t xml:space="preserve">ИИ-руководителю проекта — реестр ИД; ИИ-экономисту — стоимость ИД; ИИ-администратору — условия старта</t>
  </si>
  <si>
    <t xml:space="preserve">Проект договора, режим закупки</t>
  </si>
  <si>
    <t xml:space="preserve">ИИ-руководителю проекта — правовой аудит; ИИ-экономисту — условия оплаты и обеспечения</t>
  </si>
  <si>
    <t xml:space="preserve">ИИ-сметчик, ИИ-ГИП, ИИ-договорник</t>
  </si>
  <si>
    <t xml:space="preserve">Объёмы, цены, условия договора</t>
  </si>
  <si>
    <t xml:space="preserve">ИИ-руководителю проекта — себестоимость и маржа; ИИ-подрядчику/ИИ-снабженцу — потолки цен</t>
  </si>
  <si>
    <t xml:space="preserve">Вся команда</t>
  </si>
  <si>
    <t xml:space="preserve">Все результаты</t>
  </si>
  <si>
    <t xml:space="preserve">Заказчику — заключение и решения; команде — поручения</t>
  </si>
  <si>
    <t xml:space="preserve">СВОДКА ОБЪЕКТА — ОДИН ЭКРАН</t>
  </si>
  <si>
    <t xml:space="preserve">Вся картина на 03.08.2026. Обновляется ежедневно. Статус объекта: 🟡 брать в проработку, себестоимость пока не достоверна</t>
  </si>
  <si>
    <t xml:space="preserve">ФИНАНСЫ</t>
  </si>
  <si>
    <t xml:space="preserve">Цена договора (потолок)</t>
  </si>
  <si>
    <t xml:space="preserve">Реальный фронт работ</t>
  </si>
  <si>
    <t xml:space="preserve">Маржа (базовый сценарий)</t>
  </si>
  <si>
    <t xml:space="preserve">Красная линия</t>
  </si>
  <si>
    <t xml:space="preserve">128 491 484 ₽ с НДС</t>
  </si>
  <si>
    <t xml:space="preserve">~37,15 млн ₽ (блок КС снят)</t>
  </si>
  <si>
    <t xml:space="preserve">≈ 0 (−0,6%)</t>
  </si>
  <si>
    <t xml:space="preserve">5% (ниже — стоп)</t>
  </si>
  <si>
    <t xml:space="preserve">КРИТИЧЕСКИЙ ПУТЬ (по этапам)</t>
  </si>
  <si>
    <t xml:space="preserve">Сейчас</t>
  </si>
  <si>
    <t xml:space="preserve">Ближайшее</t>
  </si>
  <si>
    <t xml:space="preserve">После поставки оборудования</t>
  </si>
  <si>
    <t xml:space="preserve">Ввод</t>
  </si>
  <si>
    <t xml:space="preserve">Запросы Заказчику/РЖД; договор</t>
  </si>
  <si>
    <t xml:space="preserve">Приказы, электролаборатория, «окна» РЖД</t>
  </si>
  <si>
    <t xml:space="preserve">Монтаж опор/СИП → монтаж СОТ → пусконаладка</t>
  </si>
  <si>
    <t xml:space="preserve">Спецпроверки + аттестация ФСБ/ФСТЭК → приёмка</t>
  </si>
  <si>
    <t xml:space="preserve">ТОП-5 РИСКОВ НА СЕГОДНЯ</t>
  </si>
  <si>
    <t xml:space="preserve">Сумма под угрозой</t>
  </si>
  <si>
    <t xml:space="preserve">Мера (сегодня)</t>
  </si>
  <si>
    <t xml:space="preserve">Блок «выноса КС» не обоснован проектом</t>
  </si>
  <si>
    <t xml:space="preserve">64,71 млн ₽</t>
  </si>
  <si>
    <t xml:space="preserve">ИИ-договорник: запрос в РЖД/Заказчику</t>
  </si>
  <si>
    <t xml:space="preserve">Оборудование СОТ может стать нашей поставкой</t>
  </si>
  <si>
    <t xml:space="preserve">до 45,6 млн ₽</t>
  </si>
  <si>
    <t xml:space="preserve">ИИ-договорник: закрепить давальческую схему</t>
  </si>
  <si>
    <t xml:space="preserve">Режим закупки (гособоронзаказ?) не установлен</t>
  </si>
  <si>
    <t xml:space="preserve">ИИ-договорник: установить до подписания</t>
  </si>
  <si>
    <t xml:space="preserve">Недобор НДС 20→22% при твёрдой цене</t>
  </si>
  <si>
    <t xml:space="preserve">2,14 млн ₽</t>
  </si>
  <si>
    <t xml:space="preserve">ИИ-договорник: формула «НДС сверху»</t>
  </si>
  <si>
    <t xml:space="preserve">Договор не получен — анализ предварительный</t>
  </si>
  <si>
    <t xml:space="preserve">точность ±15%</t>
  </si>
  <si>
    <t xml:space="preserve">ИИ-договорник: получить проект незамедлительно</t>
  </si>
  <si>
    <t xml:space="preserve">БЛИЖАЙШИЕ ШАГИ (относительно Т0 — даты договора)</t>
  </si>
  <si>
    <t xml:space="preserve">Событие</t>
  </si>
  <si>
    <t xml:space="preserve">Получить проект договора; установить Заказчика и режим закупки</t>
  </si>
  <si>
    <t xml:space="preserve">Официальные запросы: объём КС, поставка оборудования, НДС</t>
  </si>
  <si>
    <t xml:space="preserve">07–09.08</t>
  </si>
  <si>
    <t xml:space="preserve">3 коммерческих предложения по материалам с доставкой</t>
  </si>
  <si>
    <t xml:space="preserve">Обзвон субподрядчиков (СБ «Парсек» — первым)</t>
  </si>
  <si>
    <t xml:space="preserve">Пакет приказов + договор с электролабораторией</t>
  </si>
  <si>
    <t xml:space="preserve">ИИ-ПТО + ИИ-администратор</t>
  </si>
  <si>
    <t xml:space="preserve">Пересчёт себестоимости и финмодель → заключение руководителя</t>
  </si>
  <si>
    <t xml:space="preserve">ИИ-экономист → ИИ-руководитель проекта</t>
  </si>
  <si>
    <t xml:space="preserve">ПЕРЕДАЧА РУКОВОДИТЕЛЮ НА ЗАКЛЮЧЕНИЕ</t>
  </si>
  <si>
    <t xml:space="preserve">Свод администратора. Три условия входа, рекомендация команды, блок для решения и подписи руководителя</t>
  </si>
  <si>
    <t xml:space="preserve">ЧТО СДЕЛАНО КОМАНДОЙ (Такты 0–6)</t>
  </si>
  <si>
    <t xml:space="preserve">Результат</t>
  </si>
  <si>
    <t xml:space="preserve">Кто / статус</t>
  </si>
  <si>
    <t xml:space="preserve">Паспорт объекта, реестр поручений (50 позиций), расписание совещаний</t>
  </si>
  <si>
    <t xml:space="preserve">ИИ-администратор — готово</t>
  </si>
  <si>
    <t xml:space="preserve">Инженерная сверка: блок «выноса КС» возвращён как необоснованный</t>
  </si>
  <si>
    <t xml:space="preserve">ИИ-ГИП — готово</t>
  </si>
  <si>
    <t xml:space="preserve">Свод по сметам, конъюнктура, финрезультат по 3 сценариям</t>
  </si>
  <si>
    <t xml:space="preserve">ИИ-сметчик — готово</t>
  </si>
  <si>
    <t xml:space="preserve">Реестр материалов, объём оборудования (давальческое), сроки поставки</t>
  </si>
  <si>
    <t xml:space="preserve">ИИ-снабженец — готово</t>
  </si>
  <si>
    <t xml:space="preserve">Ведомость распределения, отбор субподрядчиков, спецтехника</t>
  </si>
  <si>
    <t xml:space="preserve">ИИ-подрядчик — готово</t>
  </si>
  <si>
    <t xml:space="preserve">Реестр ИД, чек-лист старта, стоимость производства ИД</t>
  </si>
  <si>
    <t xml:space="preserve">ИИ-ПТО — готово</t>
  </si>
  <si>
    <t xml:space="preserve">Правовой паспорт, разграничение объёма, формулировки, обеспечение</t>
  </si>
  <si>
    <t xml:space="preserve">ИИ-договорник — готово</t>
  </si>
  <si>
    <t xml:space="preserve">ИИ-экономист — готово</t>
  </si>
  <si>
    <t xml:space="preserve">ТРИ УСЛОВИЯ ВХОДА (без них не подавать — единая позиция команды)</t>
  </si>
  <si>
    <t xml:space="preserve">Что нужно</t>
  </si>
  <si>
    <t xml:space="preserve">1. Блок «выноса КС» 64,71 млн ₽</t>
  </si>
  <si>
    <t xml:space="preserve">Официальный запрос в РЖД/Заказчику о фактическом объёме. Вычистить из цены через аудит Гл.12. Иначе сценарий В = −5,3 млн ₽ + риск ст. 159 УК</t>
  </si>
  <si>
    <t xml:space="preserve">2. Разграничение объёма (оборудование, опоры)</t>
  </si>
  <si>
    <t xml:space="preserve">Письменно: «железо» СОТ (16–46 млн) и металл опор (5–7,5 млн) — давальческие. Если наши — объект глубоко убыточен без допсметы</t>
  </si>
  <si>
    <t xml:space="preserve">3. НДС 22% + режим закупки</t>
  </si>
  <si>
    <t xml:space="preserve">Формула «НДС сверху» (−2,14 млн риска). Установить, гособоронзаказ ли (275-ФЗ) — меняет кассу и рентабельность. Аванс + банковская гарантия вместо удержания</t>
  </si>
  <si>
    <t xml:space="preserve">РЕКОМЕНДАЦИЯ КОМАНДЫ</t>
  </si>
  <si>
    <t xml:space="preserve">Строить работу и договор по СЦЕНАРИЮ Б: реальный фронт ~37 млн ₽ твёрдой ценой; блок «выноса КС» — исключить или передать на отдельное соглашение с ЭЧ РЖД; оборудование СОТ — давальческое; аттестация ФСТЭК — уточнить. Прибыль концентрируется на самовыполнении ЭОМ своими силами. Договор без разграничения объёма = подписанный убыток.</t>
  </si>
  <si>
    <t xml:space="preserve">РЕШЕНИЕ РУКОВОДИТЕЛЯ (заполняется ИИ-руководителем проекта)</t>
  </si>
  <si>
    <t xml:space="preserve">Вопрос на решение</t>
  </si>
  <si>
    <t xml:space="preserve">Решение / резолюция</t>
  </si>
  <si>
    <t xml:space="preserve">Утвердить сценарий Б как базовый (да / нет / условия)</t>
  </si>
  <si>
    <t xml:space="preserve">Разрешить официальные запросы Заказчику/РЖД/проектировщику</t>
  </si>
  <si>
    <t xml:space="preserve">Установить лимит самостоятельных решений снабжения (сумма)</t>
  </si>
  <si>
    <t xml:space="preserve">Дата и состав совещания с Заказчиком</t>
  </si>
  <si>
    <t xml:space="preserve">Общий заключение по объекту: 🟢 идём / 🟡 условия / 🔴 стоп</t>
  </si>
  <si>
    <t xml:space="preserve">Пакет подготовила: ИИ-администратор · администратор проектного офиса · СтройИнтеллект · 03.08.2026</t>
  </si>
  <si>
    <t xml:space="preserve">Подпись администратора: ____________________</t>
  </si>
  <si>
    <t xml:space="preserve">Утвердил, руководитель проектного офиса (ИИ-руководитель проекта В.): ____________________</t>
  </si>
  <si>
    <t xml:space="preserve">Статус документа: на заключение руководителю</t>
  </si>
  <si>
    <t xml:space="preserve">Конфиденциально · СтройИнтеллект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</si>
</sst>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B5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5E7E"/>
        <bgColor rgb="FF1F3B57"/>
      </patternFill>
    </fill>
    <fill>
      <patternFill patternType="solid">
        <fgColor rgb="FFDCE6F1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DCE6F1"/>
      </patternFill>
    </fill>
    <fill>
      <patternFill patternType="solid">
        <fgColor rgb="FFFFF2CC"/>
        <bgColor rgb="FFFCE5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B5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2E5E7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4" min="3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26.85" hidden="false" customHeight="false" outlineLevel="0" collapsed="false">
      <c r="A6" s="5" t="n">
        <v>1</v>
      </c>
      <c r="B6" s="6" t="s">
        <v>7</v>
      </c>
      <c r="C6" s="7" t="s">
        <v>8</v>
      </c>
      <c r="D6" s="5"/>
    </row>
    <row r="7" customFormat="false" ht="95.5" hidden="false" customHeight="false" outlineLevel="0" collapsed="false">
      <c r="A7" s="5" t="n">
        <v>2</v>
      </c>
      <c r="B7" s="6" t="s">
        <v>9</v>
      </c>
      <c r="C7" s="7" t="s">
        <v>10</v>
      </c>
      <c r="D7" s="5"/>
    </row>
    <row r="8" customFormat="false" ht="53.7" hidden="false" customHeight="false" outlineLevel="0" collapsed="false">
      <c r="A8" s="5" t="n">
        <v>3</v>
      </c>
      <c r="B8" s="6" t="s">
        <v>11</v>
      </c>
      <c r="C8" s="7" t="s">
        <v>12</v>
      </c>
      <c r="D8" s="5" t="s">
        <v>13</v>
      </c>
    </row>
    <row r="9" customFormat="false" ht="85.05" hidden="false" customHeight="false" outlineLevel="0" collapsed="false">
      <c r="A9" s="5" t="n">
        <v>4</v>
      </c>
      <c r="B9" s="6" t="s">
        <v>14</v>
      </c>
      <c r="C9" s="7" t="s">
        <v>15</v>
      </c>
      <c r="D9" s="5"/>
    </row>
    <row r="10" customFormat="false" ht="64.15" hidden="false" customHeight="false" outlineLevel="0" collapsed="false">
      <c r="A10" s="5" t="n">
        <v>5</v>
      </c>
      <c r="B10" s="6" t="s">
        <v>16</v>
      </c>
      <c r="C10" s="7" t="s">
        <v>17</v>
      </c>
      <c r="D10" s="5"/>
    </row>
    <row r="12" customFormat="false" ht="19.5" hidden="false" customHeight="true" outlineLevel="0" collapsed="false">
      <c r="A12" s="3" t="s">
        <v>18</v>
      </c>
      <c r="B12" s="3"/>
      <c r="C12" s="3"/>
      <c r="D12" s="3"/>
    </row>
    <row r="13" customFormat="false" ht="30" hidden="false" customHeight="true" outlineLevel="0" collapsed="false">
      <c r="A13" s="4" t="s">
        <v>3</v>
      </c>
      <c r="B13" s="4" t="s">
        <v>19</v>
      </c>
      <c r="C13" s="4" t="s">
        <v>20</v>
      </c>
      <c r="D13" s="4" t="s">
        <v>21</v>
      </c>
    </row>
    <row r="14" customFormat="false" ht="43.25" hidden="false" customHeight="false" outlineLevel="0" collapsed="false">
      <c r="A14" s="5" t="n">
        <v>1</v>
      </c>
      <c r="B14" s="6" t="s">
        <v>22</v>
      </c>
      <c r="C14" s="7" t="s">
        <v>23</v>
      </c>
      <c r="D14" s="5" t="s">
        <v>24</v>
      </c>
    </row>
    <row r="15" customFormat="false" ht="53.7" hidden="false" customHeight="false" outlineLevel="0" collapsed="false">
      <c r="A15" s="5" t="n">
        <v>2</v>
      </c>
      <c r="B15" s="6" t="s">
        <v>25</v>
      </c>
      <c r="C15" s="7" t="s">
        <v>26</v>
      </c>
      <c r="D15" s="5" t="s">
        <v>27</v>
      </c>
    </row>
    <row r="16" customFormat="false" ht="43.25" hidden="false" customHeight="false" outlineLevel="0" collapsed="false">
      <c r="A16" s="5" t="n">
        <v>3</v>
      </c>
      <c r="B16" s="6" t="s">
        <v>28</v>
      </c>
      <c r="C16" s="7" t="s">
        <v>29</v>
      </c>
      <c r="D16" s="5" t="s">
        <v>30</v>
      </c>
    </row>
    <row r="17" customFormat="false" ht="43.25" hidden="false" customHeight="false" outlineLevel="0" collapsed="false">
      <c r="A17" s="5" t="n">
        <v>4</v>
      </c>
      <c r="B17" s="6" t="s">
        <v>31</v>
      </c>
      <c r="C17" s="7" t="s">
        <v>32</v>
      </c>
      <c r="D17" s="5" t="s">
        <v>33</v>
      </c>
    </row>
    <row r="18" customFormat="false" ht="43.25" hidden="false" customHeight="false" outlineLevel="0" collapsed="false">
      <c r="A18" s="5" t="n">
        <v>5</v>
      </c>
      <c r="B18" s="6" t="s">
        <v>34</v>
      </c>
      <c r="C18" s="7" t="s">
        <v>35</v>
      </c>
      <c r="D18" s="5" t="s">
        <v>36</v>
      </c>
    </row>
    <row r="19" customFormat="false" ht="32.8" hidden="false" customHeight="false" outlineLevel="0" collapsed="false">
      <c r="A19" s="5" t="n">
        <v>6</v>
      </c>
      <c r="B19" s="6" t="s">
        <v>37</v>
      </c>
      <c r="C19" s="7" t="s">
        <v>38</v>
      </c>
      <c r="D19" s="5" t="s">
        <v>39</v>
      </c>
    </row>
    <row r="20" customFormat="false" ht="43.25" hidden="false" customHeight="false" outlineLevel="0" collapsed="false">
      <c r="A20" s="5" t="n">
        <v>7</v>
      </c>
      <c r="B20" s="6" t="s">
        <v>40</v>
      </c>
      <c r="C20" s="7" t="s">
        <v>41</v>
      </c>
      <c r="D20" s="5" t="s">
        <v>42</v>
      </c>
    </row>
    <row r="21" customFormat="false" ht="32.8" hidden="false" customHeight="false" outlineLevel="0" collapsed="false">
      <c r="A21" s="5" t="n">
        <v>8</v>
      </c>
      <c r="B21" s="6" t="s">
        <v>43</v>
      </c>
      <c r="C21" s="7" t="s">
        <v>44</v>
      </c>
      <c r="D21" s="5" t="s">
        <v>45</v>
      </c>
    </row>
    <row r="23" customFormat="false" ht="19.5" hidden="false" customHeight="true" outlineLevel="0" collapsed="false">
      <c r="A23" s="3" t="s">
        <v>46</v>
      </c>
      <c r="B23" s="3"/>
      <c r="C23" s="3"/>
      <c r="D23" s="3"/>
    </row>
    <row r="24" customFormat="false" ht="30" hidden="false" customHeight="true" outlineLevel="0" collapsed="false">
      <c r="A24" s="4" t="s">
        <v>47</v>
      </c>
      <c r="B24" s="4" t="s">
        <v>5</v>
      </c>
      <c r="C24" s="4" t="s">
        <v>48</v>
      </c>
    </row>
    <row r="25" customFormat="false" ht="22.35" hidden="false" customHeight="false" outlineLevel="0" collapsed="false">
      <c r="A25" s="8" t="s">
        <v>49</v>
      </c>
      <c r="B25" s="7" t="s">
        <v>50</v>
      </c>
      <c r="C25" s="9"/>
    </row>
    <row r="26" customFormat="false" ht="15" hidden="false" customHeight="false" outlineLevel="0" collapsed="false">
      <c r="A26" s="10" t="s">
        <v>51</v>
      </c>
      <c r="B26" s="7" t="s">
        <v>52</v>
      </c>
      <c r="C26" s="11"/>
    </row>
    <row r="27" customFormat="false" ht="15" hidden="false" customHeight="false" outlineLevel="0" collapsed="false">
      <c r="A27" s="12" t="s">
        <v>53</v>
      </c>
      <c r="B27" s="7" t="s">
        <v>54</v>
      </c>
      <c r="C27" s="13"/>
    </row>
    <row r="28" customFormat="false" ht="22.35" hidden="false" customHeight="false" outlineLevel="0" collapsed="false">
      <c r="A28" s="14" t="s">
        <v>55</v>
      </c>
      <c r="B28" s="7" t="s">
        <v>56</v>
      </c>
      <c r="C28" s="15"/>
    </row>
    <row r="29" customFormat="false" ht="22.35" hidden="false" customHeight="false" outlineLevel="0" collapsed="false">
      <c r="A29" s="16" t="s">
        <v>57</v>
      </c>
      <c r="B29" s="7" t="s">
        <v>58</v>
      </c>
      <c r="C29" s="17"/>
    </row>
    <row r="31" customFormat="false" ht="19.5" hidden="false" customHeight="true" outlineLevel="0" collapsed="false">
      <c r="A31" s="3" t="s">
        <v>59</v>
      </c>
      <c r="B31" s="3"/>
      <c r="C31" s="3"/>
      <c r="D31" s="3"/>
    </row>
    <row r="32" customFormat="false" ht="15" hidden="false" customHeight="true" outlineLevel="0" collapsed="false">
      <c r="A32" s="18" t="s">
        <v>60</v>
      </c>
      <c r="B32" s="18"/>
      <c r="C32" s="18"/>
      <c r="D32" s="18"/>
    </row>
    <row r="33" customFormat="false" ht="15" hidden="false" customHeight="false" outlineLevel="0" collapsed="false">
      <c r="A33" s="18"/>
      <c r="B33" s="18"/>
      <c r="C33" s="18"/>
      <c r="D33" s="18"/>
    </row>
    <row r="34" customFormat="false" ht="15" hidden="false" customHeight="false" outlineLevel="0" collapsed="false">
      <c r="A34" s="18"/>
      <c r="B34" s="18"/>
      <c r="C34" s="18"/>
      <c r="D34" s="18"/>
    </row>
    <row r="35" customFormat="false" ht="15" hidden="false" customHeight="false" outlineLevel="0" collapsed="false">
      <c r="A35" s="18"/>
      <c r="B35" s="18"/>
      <c r="C35" s="18"/>
      <c r="D35" s="18"/>
    </row>
  </sheetData>
  <mergeCells count="7">
    <mergeCell ref="A1:D1"/>
    <mergeCell ref="A2:D2"/>
    <mergeCell ref="A4:D4"/>
    <mergeCell ref="A12:D12"/>
    <mergeCell ref="A23:D23"/>
    <mergeCell ref="A31:D31"/>
    <mergeCell ref="A32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57"/>
  </cols>
  <sheetData>
    <row r="1" customFormat="false" ht="25.5" hidden="false" customHeight="true" outlineLevel="0" collapsed="false">
      <c r="A1" s="1" t="s">
        <v>61</v>
      </c>
      <c r="B1" s="1"/>
      <c r="C1" s="1"/>
    </row>
    <row r="2" customFormat="false" ht="30" hidden="false" customHeight="true" outlineLevel="0" collapsed="false">
      <c r="A2" s="2" t="s">
        <v>62</v>
      </c>
      <c r="B2" s="2"/>
      <c r="C2" s="2"/>
    </row>
    <row r="4" customFormat="false" ht="19.5" hidden="false" customHeight="true" outlineLevel="0" collapsed="false">
      <c r="A4" s="3" t="s">
        <v>63</v>
      </c>
      <c r="B4" s="3"/>
      <c r="C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n">
        <v>1</v>
      </c>
      <c r="B6" s="6" t="s">
        <v>64</v>
      </c>
      <c r="C6" s="7" t="s">
        <v>65</v>
      </c>
    </row>
    <row r="7" customFormat="false" ht="32.8" hidden="false" customHeight="false" outlineLevel="0" collapsed="false">
      <c r="A7" s="5" t="n">
        <v>2</v>
      </c>
      <c r="B7" s="6" t="s">
        <v>66</v>
      </c>
      <c r="C7" s="7" t="s">
        <v>67</v>
      </c>
    </row>
    <row r="8" customFormat="false" ht="22.35" hidden="false" customHeight="false" outlineLevel="0" collapsed="false">
      <c r="A8" s="5" t="n">
        <v>3</v>
      </c>
      <c r="B8" s="6" t="s">
        <v>68</v>
      </c>
      <c r="C8" s="7" t="s">
        <v>69</v>
      </c>
    </row>
    <row r="9" customFormat="false" ht="32.8" hidden="false" customHeight="false" outlineLevel="0" collapsed="false">
      <c r="A9" s="5" t="n">
        <v>4</v>
      </c>
      <c r="B9" s="6" t="s">
        <v>70</v>
      </c>
      <c r="C9" s="7" t="s">
        <v>71</v>
      </c>
    </row>
    <row r="10" customFormat="false" ht="32.8" hidden="false" customHeight="false" outlineLevel="0" collapsed="false">
      <c r="A10" s="5" t="n">
        <v>5</v>
      </c>
      <c r="B10" s="6" t="s">
        <v>72</v>
      </c>
      <c r="C10" s="7" t="s">
        <v>73</v>
      </c>
    </row>
    <row r="11" customFormat="false" ht="22.35" hidden="false" customHeight="false" outlineLevel="0" collapsed="false">
      <c r="A11" s="5" t="n">
        <v>6</v>
      </c>
      <c r="B11" s="6" t="s">
        <v>74</v>
      </c>
      <c r="C11" s="7" t="s">
        <v>75</v>
      </c>
    </row>
    <row r="12" customFormat="false" ht="19.5" hidden="false" customHeight="true" outlineLevel="0" collapsed="false">
      <c r="A12" s="3" t="s">
        <v>76</v>
      </c>
      <c r="B12" s="3"/>
      <c r="C12" s="3"/>
    </row>
    <row r="13" customFormat="false" ht="30" hidden="false" customHeight="true" outlineLevel="0" collapsed="false">
      <c r="A13" s="4" t="s">
        <v>3</v>
      </c>
      <c r="B13" s="4" t="s">
        <v>4</v>
      </c>
      <c r="C13" s="4" t="s">
        <v>5</v>
      </c>
    </row>
    <row r="14" customFormat="false" ht="43.25" hidden="false" customHeight="false" outlineLevel="0" collapsed="false">
      <c r="A14" s="5" t="n">
        <v>1</v>
      </c>
      <c r="B14" s="6" t="s">
        <v>77</v>
      </c>
      <c r="C14" s="15" t="s">
        <v>78</v>
      </c>
    </row>
    <row r="15" customFormat="false" ht="32.8" hidden="false" customHeight="false" outlineLevel="0" collapsed="false">
      <c r="A15" s="5" t="n">
        <v>2</v>
      </c>
      <c r="B15" s="6" t="s">
        <v>79</v>
      </c>
      <c r="C15" s="15" t="s">
        <v>80</v>
      </c>
    </row>
    <row r="16" customFormat="false" ht="22.35" hidden="false" customHeight="false" outlineLevel="0" collapsed="false">
      <c r="A16" s="5" t="n">
        <v>3</v>
      </c>
      <c r="B16" s="6" t="s">
        <v>81</v>
      </c>
      <c r="C16" s="7" t="s">
        <v>82</v>
      </c>
    </row>
    <row r="17" customFormat="false" ht="15" hidden="false" customHeight="false" outlineLevel="0" collapsed="false">
      <c r="A17" s="5" t="n">
        <v>4</v>
      </c>
      <c r="B17" s="6" t="s">
        <v>83</v>
      </c>
      <c r="C17" s="7" t="s">
        <v>84</v>
      </c>
    </row>
    <row r="18" customFormat="false" ht="22.35" hidden="false" customHeight="false" outlineLevel="0" collapsed="false">
      <c r="A18" s="5" t="n">
        <v>5</v>
      </c>
      <c r="B18" s="6" t="s">
        <v>85</v>
      </c>
      <c r="C18" s="7" t="s">
        <v>86</v>
      </c>
    </row>
    <row r="19" customFormat="false" ht="32.8" hidden="false" customHeight="false" outlineLevel="0" collapsed="false">
      <c r="A19" s="5" t="n">
        <v>6</v>
      </c>
      <c r="B19" s="6" t="s">
        <v>87</v>
      </c>
      <c r="C19" s="7" t="s">
        <v>88</v>
      </c>
    </row>
    <row r="20" customFormat="false" ht="19.5" hidden="false" customHeight="true" outlineLevel="0" collapsed="false">
      <c r="A20" s="3" t="s">
        <v>89</v>
      </c>
      <c r="B20" s="3"/>
      <c r="C20" s="3"/>
    </row>
    <row r="21" customFormat="false" ht="30" hidden="false" customHeight="true" outlineLevel="0" collapsed="false">
      <c r="A21" s="4" t="s">
        <v>3</v>
      </c>
      <c r="B21" s="4" t="s">
        <v>4</v>
      </c>
      <c r="C21" s="4" t="s">
        <v>5</v>
      </c>
    </row>
    <row r="22" customFormat="false" ht="22.35" hidden="false" customHeight="false" outlineLevel="0" collapsed="false">
      <c r="A22" s="5" t="n">
        <v>1</v>
      </c>
      <c r="B22" s="6" t="s">
        <v>90</v>
      </c>
      <c r="C22" s="7" t="s">
        <v>91</v>
      </c>
    </row>
    <row r="23" customFormat="false" ht="22.35" hidden="false" customHeight="false" outlineLevel="0" collapsed="false">
      <c r="A23" s="5" t="n">
        <v>2</v>
      </c>
      <c r="B23" s="6" t="s">
        <v>92</v>
      </c>
      <c r="C23" s="7" t="s">
        <v>93</v>
      </c>
    </row>
    <row r="24" customFormat="false" ht="22.35" hidden="false" customHeight="false" outlineLevel="0" collapsed="false">
      <c r="A24" s="5" t="n">
        <v>3</v>
      </c>
      <c r="B24" s="6" t="s">
        <v>94</v>
      </c>
      <c r="C24" s="7" t="s">
        <v>95</v>
      </c>
    </row>
    <row r="25" customFormat="false" ht="22.35" hidden="false" customHeight="false" outlineLevel="0" collapsed="false">
      <c r="A25" s="5" t="n">
        <v>4</v>
      </c>
      <c r="B25" s="6" t="s">
        <v>96</v>
      </c>
      <c r="C25" s="7" t="s">
        <v>97</v>
      </c>
    </row>
    <row r="26" customFormat="false" ht="22.35" hidden="false" customHeight="false" outlineLevel="0" collapsed="false">
      <c r="A26" s="5" t="n">
        <v>5</v>
      </c>
      <c r="B26" s="6" t="s">
        <v>98</v>
      </c>
      <c r="C26" s="15" t="s">
        <v>99</v>
      </c>
    </row>
    <row r="27" customFormat="false" ht="22.35" hidden="false" customHeight="false" outlineLevel="0" collapsed="false">
      <c r="A27" s="5" t="n">
        <v>6</v>
      </c>
      <c r="B27" s="6" t="s">
        <v>100</v>
      </c>
      <c r="C27" s="7" t="s">
        <v>101</v>
      </c>
    </row>
    <row r="28" customFormat="false" ht="19.5" hidden="false" customHeight="true" outlineLevel="0" collapsed="false">
      <c r="A28" s="3" t="s">
        <v>102</v>
      </c>
      <c r="B28" s="3"/>
      <c r="C28" s="3"/>
    </row>
    <row r="29" customFormat="false" ht="30" hidden="false" customHeight="true" outlineLevel="0" collapsed="false">
      <c r="A29" s="4" t="s">
        <v>3</v>
      </c>
      <c r="B29" s="4" t="s">
        <v>4</v>
      </c>
      <c r="C29" s="4" t="s">
        <v>5</v>
      </c>
    </row>
    <row r="30" customFormat="false" ht="43.25" hidden="false" customHeight="false" outlineLevel="0" collapsed="false">
      <c r="A30" s="5" t="n">
        <v>1</v>
      </c>
      <c r="B30" s="6" t="s">
        <v>103</v>
      </c>
      <c r="C30" s="9" t="s">
        <v>104</v>
      </c>
    </row>
    <row r="31" customFormat="false" ht="32.8" hidden="false" customHeight="false" outlineLevel="0" collapsed="false">
      <c r="A31" s="5" t="n">
        <v>2</v>
      </c>
      <c r="B31" s="6" t="s">
        <v>105</v>
      </c>
      <c r="C31" s="7" t="s">
        <v>106</v>
      </c>
    </row>
    <row r="32" customFormat="false" ht="43.25" hidden="false" customHeight="false" outlineLevel="0" collapsed="false">
      <c r="A32" s="5" t="n">
        <v>3</v>
      </c>
      <c r="B32" s="6" t="s">
        <v>107</v>
      </c>
      <c r="C32" s="7" t="s">
        <v>108</v>
      </c>
    </row>
    <row r="33" customFormat="false" ht="32.8" hidden="false" customHeight="false" outlineLevel="0" collapsed="false">
      <c r="A33" s="5" t="n">
        <v>4</v>
      </c>
      <c r="B33" s="6" t="s">
        <v>109</v>
      </c>
      <c r="C33" s="7" t="s">
        <v>110</v>
      </c>
    </row>
    <row r="34" customFormat="false" ht="22.35" hidden="false" customHeight="false" outlineLevel="0" collapsed="false">
      <c r="A34" s="5" t="n">
        <v>5</v>
      </c>
      <c r="B34" s="6" t="s">
        <v>111</v>
      </c>
      <c r="C34" s="7" t="s">
        <v>112</v>
      </c>
    </row>
    <row r="35" customFormat="false" ht="19.5" hidden="false" customHeight="true" outlineLevel="0" collapsed="false">
      <c r="A35" s="3" t="s">
        <v>113</v>
      </c>
      <c r="B35" s="3"/>
      <c r="C35" s="3"/>
    </row>
    <row r="36" customFormat="false" ht="30" hidden="false" customHeight="true" outlineLevel="0" collapsed="false">
      <c r="A36" s="4" t="s">
        <v>3</v>
      </c>
      <c r="B36" s="4" t="s">
        <v>4</v>
      </c>
      <c r="C36" s="4" t="s">
        <v>5</v>
      </c>
    </row>
    <row r="37" customFormat="false" ht="22.35" hidden="false" customHeight="false" outlineLevel="0" collapsed="false">
      <c r="A37" s="5" t="n">
        <v>1</v>
      </c>
      <c r="B37" s="6" t="s">
        <v>114</v>
      </c>
      <c r="C37" s="9" t="s">
        <v>115</v>
      </c>
    </row>
    <row r="38" customFormat="false" ht="15" hidden="false" customHeight="false" outlineLevel="0" collapsed="false">
      <c r="A38" s="5" t="n">
        <v>2</v>
      </c>
      <c r="B38" s="6" t="s">
        <v>116</v>
      </c>
      <c r="C38" s="9" t="s">
        <v>117</v>
      </c>
    </row>
    <row r="39" customFormat="false" ht="22.35" hidden="false" customHeight="false" outlineLevel="0" collapsed="false">
      <c r="A39" s="5" t="n">
        <v>3</v>
      </c>
      <c r="B39" s="6" t="s">
        <v>118</v>
      </c>
      <c r="C39" s="11" t="s">
        <v>119</v>
      </c>
    </row>
    <row r="40" customFormat="false" ht="32.8" hidden="false" customHeight="false" outlineLevel="0" collapsed="false">
      <c r="A40" s="5" t="n">
        <v>4</v>
      </c>
      <c r="B40" s="6" t="s">
        <v>120</v>
      </c>
      <c r="C40" s="11" t="s">
        <v>121</v>
      </c>
    </row>
  </sheetData>
  <mergeCells count="7">
    <mergeCell ref="A1:C1"/>
    <mergeCell ref="A2:C2"/>
    <mergeCell ref="A4:C4"/>
    <mergeCell ref="A12:C12"/>
    <mergeCell ref="A20:C20"/>
    <mergeCell ref="A28:C28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6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4" t="s">
        <v>3</v>
      </c>
      <c r="B4" s="4" t="s">
        <v>21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  <c r="I4" s="4" t="s">
        <v>130</v>
      </c>
      <c r="J4" s="4" t="s">
        <v>131</v>
      </c>
    </row>
    <row r="5" customFormat="false" ht="53.7" hidden="false" customHeight="false" outlineLevel="0" collapsed="false">
      <c r="A5" s="19" t="n">
        <v>1</v>
      </c>
      <c r="B5" s="19" t="s">
        <v>132</v>
      </c>
      <c r="C5" s="6" t="s">
        <v>133</v>
      </c>
      <c r="D5" s="7" t="s">
        <v>134</v>
      </c>
      <c r="E5" s="20" t="s">
        <v>135</v>
      </c>
      <c r="F5" s="21" t="s">
        <v>136</v>
      </c>
      <c r="G5" s="5" t="s">
        <v>137</v>
      </c>
      <c r="H5" s="5" t="s">
        <v>138</v>
      </c>
      <c r="I5" s="22" t="s">
        <v>139</v>
      </c>
      <c r="J5" s="23" t="s">
        <v>49</v>
      </c>
    </row>
    <row r="6" customFormat="false" ht="32.8" hidden="false" customHeight="false" outlineLevel="0" collapsed="false">
      <c r="A6" s="19" t="n">
        <v>2</v>
      </c>
      <c r="B6" s="19" t="s">
        <v>132</v>
      </c>
      <c r="C6" s="6" t="s">
        <v>133</v>
      </c>
      <c r="D6" s="7" t="s">
        <v>140</v>
      </c>
      <c r="E6" s="20" t="s">
        <v>141</v>
      </c>
      <c r="F6" s="21" t="s">
        <v>136</v>
      </c>
      <c r="G6" s="5" t="s">
        <v>142</v>
      </c>
      <c r="H6" s="5" t="s">
        <v>143</v>
      </c>
      <c r="I6" s="22" t="s">
        <v>144</v>
      </c>
      <c r="J6" s="24" t="s">
        <v>51</v>
      </c>
    </row>
    <row r="7" customFormat="false" ht="22.35" hidden="false" customHeight="false" outlineLevel="0" collapsed="false">
      <c r="A7" s="19" t="n">
        <v>3</v>
      </c>
      <c r="B7" s="19" t="s">
        <v>132</v>
      </c>
      <c r="C7" s="6" t="s">
        <v>133</v>
      </c>
      <c r="D7" s="7" t="s">
        <v>145</v>
      </c>
      <c r="E7" s="20" t="s">
        <v>146</v>
      </c>
      <c r="F7" s="21" t="s">
        <v>136</v>
      </c>
      <c r="G7" s="5" t="s">
        <v>142</v>
      </c>
      <c r="H7" s="5" t="s">
        <v>147</v>
      </c>
      <c r="I7" s="22" t="s">
        <v>148</v>
      </c>
      <c r="J7" s="24" t="s">
        <v>51</v>
      </c>
    </row>
    <row r="8" customFormat="false" ht="32.8" hidden="false" customHeight="false" outlineLevel="0" collapsed="false">
      <c r="A8" s="19" t="n">
        <v>4</v>
      </c>
      <c r="B8" s="19" t="s">
        <v>132</v>
      </c>
      <c r="C8" s="6" t="s">
        <v>133</v>
      </c>
      <c r="D8" s="7" t="s">
        <v>149</v>
      </c>
      <c r="E8" s="20" t="s">
        <v>150</v>
      </c>
      <c r="F8" s="21" t="s">
        <v>136</v>
      </c>
      <c r="G8" s="5" t="s">
        <v>81</v>
      </c>
      <c r="H8" s="5" t="s">
        <v>151</v>
      </c>
      <c r="I8" s="22" t="s">
        <v>152</v>
      </c>
      <c r="J8" s="24" t="s">
        <v>51</v>
      </c>
    </row>
    <row r="9" customFormat="false" ht="32.8" hidden="false" customHeight="false" outlineLevel="0" collapsed="false">
      <c r="A9" s="19" t="n">
        <v>5</v>
      </c>
      <c r="B9" s="19" t="s">
        <v>132</v>
      </c>
      <c r="C9" s="6" t="s">
        <v>133</v>
      </c>
      <c r="D9" s="7" t="s">
        <v>153</v>
      </c>
      <c r="E9" s="20" t="s">
        <v>154</v>
      </c>
      <c r="F9" s="21" t="s">
        <v>136</v>
      </c>
      <c r="G9" s="5" t="s">
        <v>155</v>
      </c>
      <c r="H9" s="5" t="s">
        <v>156</v>
      </c>
      <c r="I9" s="22" t="s">
        <v>157</v>
      </c>
      <c r="J9" s="24" t="s">
        <v>51</v>
      </c>
    </row>
    <row r="10" customFormat="false" ht="43.25" hidden="false" customHeight="false" outlineLevel="0" collapsed="false">
      <c r="A10" s="19" t="n">
        <v>6</v>
      </c>
      <c r="B10" s="19" t="s">
        <v>132</v>
      </c>
      <c r="C10" s="6" t="s">
        <v>133</v>
      </c>
      <c r="D10" s="7" t="s">
        <v>158</v>
      </c>
      <c r="E10" s="20" t="s">
        <v>159</v>
      </c>
      <c r="F10" s="21" t="s">
        <v>136</v>
      </c>
      <c r="G10" s="5" t="s">
        <v>81</v>
      </c>
      <c r="H10" s="5" t="s">
        <v>160</v>
      </c>
      <c r="I10" s="22" t="s">
        <v>161</v>
      </c>
      <c r="J10" s="24" t="s">
        <v>51</v>
      </c>
    </row>
    <row r="11" customFormat="false" ht="32.8" hidden="false" customHeight="false" outlineLevel="0" collapsed="false">
      <c r="A11" s="19" t="n">
        <v>7</v>
      </c>
      <c r="B11" s="19" t="s">
        <v>162</v>
      </c>
      <c r="C11" s="6" t="s">
        <v>163</v>
      </c>
      <c r="D11" s="7" t="s">
        <v>164</v>
      </c>
      <c r="E11" s="20" t="s">
        <v>165</v>
      </c>
      <c r="F11" s="21" t="s">
        <v>137</v>
      </c>
      <c r="G11" s="5" t="s">
        <v>166</v>
      </c>
      <c r="H11" s="5" t="s">
        <v>167</v>
      </c>
      <c r="I11" s="22" t="s">
        <v>168</v>
      </c>
      <c r="J11" s="23" t="s">
        <v>49</v>
      </c>
    </row>
    <row r="12" customFormat="false" ht="22.35" hidden="false" customHeight="false" outlineLevel="0" collapsed="false">
      <c r="A12" s="19" t="n">
        <v>8</v>
      </c>
      <c r="B12" s="19" t="s">
        <v>162</v>
      </c>
      <c r="C12" s="6" t="s">
        <v>163</v>
      </c>
      <c r="D12" s="7" t="s">
        <v>169</v>
      </c>
      <c r="E12" s="20" t="s">
        <v>170</v>
      </c>
      <c r="F12" s="21" t="s">
        <v>137</v>
      </c>
      <c r="G12" s="5" t="s">
        <v>171</v>
      </c>
      <c r="H12" s="5" t="s">
        <v>172</v>
      </c>
      <c r="I12" s="22" t="s">
        <v>173</v>
      </c>
      <c r="J12" s="24" t="s">
        <v>51</v>
      </c>
    </row>
    <row r="13" customFormat="false" ht="22.35" hidden="false" customHeight="false" outlineLevel="0" collapsed="false">
      <c r="A13" s="19" t="n">
        <v>9</v>
      </c>
      <c r="B13" s="19" t="s">
        <v>162</v>
      </c>
      <c r="C13" s="6" t="s">
        <v>163</v>
      </c>
      <c r="D13" s="7" t="s">
        <v>174</v>
      </c>
      <c r="E13" s="20" t="s">
        <v>175</v>
      </c>
      <c r="F13" s="21" t="s">
        <v>137</v>
      </c>
      <c r="G13" s="5" t="s">
        <v>142</v>
      </c>
      <c r="H13" s="5" t="s">
        <v>176</v>
      </c>
      <c r="I13" s="22" t="s">
        <v>177</v>
      </c>
      <c r="J13" s="24" t="s">
        <v>51</v>
      </c>
    </row>
    <row r="14" customFormat="false" ht="32.8" hidden="false" customHeight="false" outlineLevel="0" collapsed="false">
      <c r="A14" s="19" t="n">
        <v>10</v>
      </c>
      <c r="B14" s="19" t="s">
        <v>162</v>
      </c>
      <c r="C14" s="6" t="s">
        <v>163</v>
      </c>
      <c r="D14" s="7" t="s">
        <v>178</v>
      </c>
      <c r="E14" s="20" t="s">
        <v>179</v>
      </c>
      <c r="F14" s="21" t="s">
        <v>137</v>
      </c>
      <c r="G14" s="5" t="s">
        <v>166</v>
      </c>
      <c r="H14" s="5" t="s">
        <v>180</v>
      </c>
      <c r="I14" s="22" t="s">
        <v>181</v>
      </c>
      <c r="J14" s="24" t="s">
        <v>51</v>
      </c>
    </row>
    <row r="15" customFormat="false" ht="22.35" hidden="false" customHeight="false" outlineLevel="0" collapsed="false">
      <c r="A15" s="19" t="n">
        <v>11</v>
      </c>
      <c r="B15" s="19" t="s">
        <v>182</v>
      </c>
      <c r="C15" s="6" t="s">
        <v>183</v>
      </c>
      <c r="D15" s="7" t="s">
        <v>184</v>
      </c>
      <c r="E15" s="20" t="s">
        <v>185</v>
      </c>
      <c r="F15" s="21" t="s">
        <v>142</v>
      </c>
      <c r="G15" s="5" t="s">
        <v>186</v>
      </c>
      <c r="H15" s="5" t="s">
        <v>187</v>
      </c>
      <c r="I15" s="22" t="s">
        <v>188</v>
      </c>
      <c r="J15" s="24" t="s">
        <v>51</v>
      </c>
    </row>
    <row r="16" customFormat="false" ht="22.35" hidden="false" customHeight="false" outlineLevel="0" collapsed="false">
      <c r="A16" s="19" t="n">
        <v>12</v>
      </c>
      <c r="B16" s="19" t="s">
        <v>182</v>
      </c>
      <c r="C16" s="6" t="s">
        <v>183</v>
      </c>
      <c r="D16" s="7" t="s">
        <v>189</v>
      </c>
      <c r="E16" s="20" t="s">
        <v>190</v>
      </c>
      <c r="F16" s="21" t="s">
        <v>142</v>
      </c>
      <c r="G16" s="5" t="s">
        <v>136</v>
      </c>
      <c r="H16" s="5" t="s">
        <v>187</v>
      </c>
      <c r="I16" s="22" t="s">
        <v>148</v>
      </c>
      <c r="J16" s="24" t="s">
        <v>51</v>
      </c>
    </row>
    <row r="17" customFormat="false" ht="22.35" hidden="false" customHeight="false" outlineLevel="0" collapsed="false">
      <c r="A17" s="19" t="n">
        <v>13</v>
      </c>
      <c r="B17" s="19" t="s">
        <v>182</v>
      </c>
      <c r="C17" s="6" t="s">
        <v>183</v>
      </c>
      <c r="D17" s="7" t="s">
        <v>191</v>
      </c>
      <c r="E17" s="20" t="s">
        <v>190</v>
      </c>
      <c r="F17" s="21" t="s">
        <v>142</v>
      </c>
      <c r="G17" s="5" t="s">
        <v>136</v>
      </c>
      <c r="H17" s="5" t="s">
        <v>192</v>
      </c>
      <c r="I17" s="22" t="s">
        <v>193</v>
      </c>
      <c r="J17" s="24" t="s">
        <v>51</v>
      </c>
    </row>
    <row r="18" customFormat="false" ht="32.8" hidden="false" customHeight="false" outlineLevel="0" collapsed="false">
      <c r="A18" s="19" t="n">
        <v>14</v>
      </c>
      <c r="B18" s="19" t="s">
        <v>182</v>
      </c>
      <c r="C18" s="6" t="s">
        <v>183</v>
      </c>
      <c r="D18" s="7" t="s">
        <v>194</v>
      </c>
      <c r="E18" s="20" t="s">
        <v>190</v>
      </c>
      <c r="F18" s="21" t="s">
        <v>142</v>
      </c>
      <c r="G18" s="5" t="s">
        <v>186</v>
      </c>
      <c r="H18" s="5" t="s">
        <v>195</v>
      </c>
      <c r="I18" s="22" t="s">
        <v>196</v>
      </c>
      <c r="J18" s="25" t="s">
        <v>53</v>
      </c>
    </row>
    <row r="19" customFormat="false" ht="32.8" hidden="false" customHeight="false" outlineLevel="0" collapsed="false">
      <c r="A19" s="19" t="n">
        <v>15</v>
      </c>
      <c r="B19" s="19" t="s">
        <v>182</v>
      </c>
      <c r="C19" s="6" t="s">
        <v>183</v>
      </c>
      <c r="D19" s="7" t="s">
        <v>197</v>
      </c>
      <c r="E19" s="20" t="s">
        <v>198</v>
      </c>
      <c r="F19" s="21" t="s">
        <v>142</v>
      </c>
      <c r="G19" s="5" t="s">
        <v>171</v>
      </c>
      <c r="H19" s="5" t="s">
        <v>192</v>
      </c>
      <c r="I19" s="22" t="s">
        <v>199</v>
      </c>
      <c r="J19" s="24" t="s">
        <v>51</v>
      </c>
    </row>
    <row r="20" customFormat="false" ht="32.8" hidden="false" customHeight="false" outlineLevel="0" collapsed="false">
      <c r="A20" s="19" t="n">
        <v>16</v>
      </c>
      <c r="B20" s="19" t="s">
        <v>182</v>
      </c>
      <c r="C20" s="6" t="s">
        <v>183</v>
      </c>
      <c r="D20" s="7" t="s">
        <v>200</v>
      </c>
      <c r="E20" s="20" t="s">
        <v>201</v>
      </c>
      <c r="F20" s="21" t="s">
        <v>142</v>
      </c>
      <c r="G20" s="5" t="s">
        <v>171</v>
      </c>
      <c r="H20" s="5" t="s">
        <v>202</v>
      </c>
      <c r="I20" s="22" t="s">
        <v>203</v>
      </c>
      <c r="J20" s="23" t="s">
        <v>49</v>
      </c>
    </row>
    <row r="21" customFormat="false" ht="22.35" hidden="false" customHeight="false" outlineLevel="0" collapsed="false">
      <c r="A21" s="19" t="n">
        <v>17</v>
      </c>
      <c r="B21" s="19" t="s">
        <v>182</v>
      </c>
      <c r="C21" s="6" t="s">
        <v>183</v>
      </c>
      <c r="D21" s="7" t="s">
        <v>204</v>
      </c>
      <c r="E21" s="20" t="s">
        <v>190</v>
      </c>
      <c r="F21" s="21" t="s">
        <v>142</v>
      </c>
      <c r="G21" s="5" t="s">
        <v>205</v>
      </c>
      <c r="H21" s="5" t="s">
        <v>192</v>
      </c>
      <c r="I21" s="22" t="s">
        <v>206</v>
      </c>
      <c r="J21" s="24" t="s">
        <v>51</v>
      </c>
    </row>
    <row r="22" customFormat="false" ht="43.25" hidden="false" customHeight="false" outlineLevel="0" collapsed="false">
      <c r="A22" s="19" t="n">
        <v>18</v>
      </c>
      <c r="B22" s="19" t="s">
        <v>182</v>
      </c>
      <c r="C22" s="6" t="s">
        <v>207</v>
      </c>
      <c r="D22" s="7" t="s">
        <v>208</v>
      </c>
      <c r="E22" s="20" t="s">
        <v>209</v>
      </c>
      <c r="F22" s="21" t="s">
        <v>210</v>
      </c>
      <c r="G22" s="5" t="s">
        <v>205</v>
      </c>
      <c r="H22" s="5" t="s">
        <v>211</v>
      </c>
      <c r="I22" s="22" t="s">
        <v>212</v>
      </c>
      <c r="J22" s="24" t="s">
        <v>51</v>
      </c>
    </row>
    <row r="23" customFormat="false" ht="32.8" hidden="false" customHeight="false" outlineLevel="0" collapsed="false">
      <c r="A23" s="19" t="n">
        <v>19</v>
      </c>
      <c r="B23" s="19" t="s">
        <v>182</v>
      </c>
      <c r="C23" s="6" t="s">
        <v>207</v>
      </c>
      <c r="D23" s="7" t="s">
        <v>213</v>
      </c>
      <c r="E23" s="20" t="s">
        <v>214</v>
      </c>
      <c r="F23" s="21" t="s">
        <v>210</v>
      </c>
      <c r="G23" s="5" t="s">
        <v>205</v>
      </c>
      <c r="H23" s="5" t="s">
        <v>215</v>
      </c>
      <c r="I23" s="22" t="s">
        <v>216</v>
      </c>
      <c r="J23" s="24" t="s">
        <v>51</v>
      </c>
    </row>
    <row r="24" customFormat="false" ht="22.35" hidden="false" customHeight="false" outlineLevel="0" collapsed="false">
      <c r="A24" s="19" t="n">
        <v>20</v>
      </c>
      <c r="B24" s="19" t="s">
        <v>182</v>
      </c>
      <c r="C24" s="6" t="s">
        <v>207</v>
      </c>
      <c r="D24" s="7" t="s">
        <v>217</v>
      </c>
      <c r="E24" s="20" t="s">
        <v>218</v>
      </c>
      <c r="F24" s="21" t="s">
        <v>210</v>
      </c>
      <c r="G24" s="5" t="s">
        <v>205</v>
      </c>
      <c r="H24" s="5" t="s">
        <v>215</v>
      </c>
      <c r="I24" s="22" t="s">
        <v>219</v>
      </c>
      <c r="J24" s="24" t="s">
        <v>51</v>
      </c>
    </row>
    <row r="25" customFormat="false" ht="43.25" hidden="false" customHeight="false" outlineLevel="0" collapsed="false">
      <c r="A25" s="19" t="n">
        <v>21</v>
      </c>
      <c r="B25" s="19" t="s">
        <v>182</v>
      </c>
      <c r="C25" s="6" t="s">
        <v>207</v>
      </c>
      <c r="D25" s="7" t="s">
        <v>220</v>
      </c>
      <c r="E25" s="20" t="s">
        <v>221</v>
      </c>
      <c r="F25" s="21" t="s">
        <v>210</v>
      </c>
      <c r="G25" s="5" t="s">
        <v>171</v>
      </c>
      <c r="H25" s="5" t="s">
        <v>222</v>
      </c>
      <c r="I25" s="22" t="s">
        <v>223</v>
      </c>
      <c r="J25" s="23" t="s">
        <v>49</v>
      </c>
    </row>
    <row r="26" customFormat="false" ht="32.8" hidden="false" customHeight="false" outlineLevel="0" collapsed="false">
      <c r="A26" s="19" t="n">
        <v>22</v>
      </c>
      <c r="B26" s="19" t="s">
        <v>182</v>
      </c>
      <c r="C26" s="6" t="s">
        <v>207</v>
      </c>
      <c r="D26" s="7" t="s">
        <v>224</v>
      </c>
      <c r="E26" s="20" t="s">
        <v>225</v>
      </c>
      <c r="F26" s="21" t="s">
        <v>210</v>
      </c>
      <c r="G26" s="5" t="s">
        <v>166</v>
      </c>
      <c r="H26" s="5" t="s">
        <v>215</v>
      </c>
      <c r="I26" s="22" t="s">
        <v>226</v>
      </c>
      <c r="J26" s="25" t="s">
        <v>53</v>
      </c>
    </row>
    <row r="27" customFormat="false" ht="22.35" hidden="false" customHeight="false" outlineLevel="0" collapsed="false">
      <c r="A27" s="19" t="n">
        <v>23</v>
      </c>
      <c r="B27" s="19" t="s">
        <v>182</v>
      </c>
      <c r="C27" s="6" t="s">
        <v>207</v>
      </c>
      <c r="D27" s="7" t="s">
        <v>227</v>
      </c>
      <c r="E27" s="20" t="s">
        <v>228</v>
      </c>
      <c r="F27" s="21" t="s">
        <v>210</v>
      </c>
      <c r="G27" s="5" t="s">
        <v>186</v>
      </c>
      <c r="H27" s="5" t="s">
        <v>229</v>
      </c>
      <c r="I27" s="22" t="s">
        <v>230</v>
      </c>
      <c r="J27" s="25" t="s">
        <v>53</v>
      </c>
    </row>
    <row r="28" customFormat="false" ht="32.8" hidden="false" customHeight="false" outlineLevel="0" collapsed="false">
      <c r="A28" s="19" t="n">
        <v>24</v>
      </c>
      <c r="B28" s="19" t="s">
        <v>231</v>
      </c>
      <c r="C28" s="6" t="s">
        <v>232</v>
      </c>
      <c r="D28" s="7" t="s">
        <v>233</v>
      </c>
      <c r="E28" s="20" t="s">
        <v>234</v>
      </c>
      <c r="F28" s="21" t="s">
        <v>155</v>
      </c>
      <c r="G28" s="5" t="s">
        <v>235</v>
      </c>
      <c r="H28" s="5" t="s">
        <v>236</v>
      </c>
      <c r="I28" s="22" t="s">
        <v>237</v>
      </c>
      <c r="J28" s="23" t="s">
        <v>49</v>
      </c>
    </row>
    <row r="29" customFormat="false" ht="32.8" hidden="false" customHeight="false" outlineLevel="0" collapsed="false">
      <c r="A29" s="19" t="n">
        <v>25</v>
      </c>
      <c r="B29" s="19" t="s">
        <v>231</v>
      </c>
      <c r="C29" s="6" t="s">
        <v>232</v>
      </c>
      <c r="D29" s="7" t="s">
        <v>238</v>
      </c>
      <c r="E29" s="20" t="s">
        <v>239</v>
      </c>
      <c r="F29" s="21" t="s">
        <v>155</v>
      </c>
      <c r="G29" s="5" t="s">
        <v>186</v>
      </c>
      <c r="H29" s="5" t="s">
        <v>240</v>
      </c>
      <c r="I29" s="22" t="s">
        <v>241</v>
      </c>
      <c r="J29" s="23" t="s">
        <v>49</v>
      </c>
    </row>
    <row r="30" customFormat="false" ht="22.35" hidden="false" customHeight="false" outlineLevel="0" collapsed="false">
      <c r="A30" s="19" t="n">
        <v>26</v>
      </c>
      <c r="B30" s="19" t="s">
        <v>231</v>
      </c>
      <c r="C30" s="6" t="s">
        <v>232</v>
      </c>
      <c r="D30" s="7" t="s">
        <v>242</v>
      </c>
      <c r="E30" s="20" t="s">
        <v>243</v>
      </c>
      <c r="F30" s="21" t="s">
        <v>81</v>
      </c>
      <c r="G30" s="5" t="s">
        <v>155</v>
      </c>
      <c r="H30" s="5" t="s">
        <v>236</v>
      </c>
      <c r="I30" s="22" t="s">
        <v>237</v>
      </c>
      <c r="J30" s="23" t="s">
        <v>49</v>
      </c>
    </row>
    <row r="31" customFormat="false" ht="32.8" hidden="false" customHeight="false" outlineLevel="0" collapsed="false">
      <c r="A31" s="19" t="n">
        <v>27</v>
      </c>
      <c r="B31" s="19" t="s">
        <v>231</v>
      </c>
      <c r="C31" s="6" t="s">
        <v>232</v>
      </c>
      <c r="D31" s="7" t="s">
        <v>244</v>
      </c>
      <c r="E31" s="20" t="s">
        <v>245</v>
      </c>
      <c r="F31" s="21" t="s">
        <v>246</v>
      </c>
      <c r="G31" s="5" t="s">
        <v>247</v>
      </c>
      <c r="H31" s="5" t="s">
        <v>236</v>
      </c>
      <c r="I31" s="22" t="s">
        <v>237</v>
      </c>
      <c r="J31" s="23" t="s">
        <v>49</v>
      </c>
    </row>
    <row r="32" customFormat="false" ht="32.8" hidden="false" customHeight="false" outlineLevel="0" collapsed="false">
      <c r="A32" s="19" t="n">
        <v>28</v>
      </c>
      <c r="B32" s="19" t="s">
        <v>231</v>
      </c>
      <c r="C32" s="6" t="s">
        <v>232</v>
      </c>
      <c r="D32" s="7" t="s">
        <v>248</v>
      </c>
      <c r="E32" s="20" t="s">
        <v>249</v>
      </c>
      <c r="F32" s="21" t="s">
        <v>155</v>
      </c>
      <c r="G32" s="5" t="s">
        <v>186</v>
      </c>
      <c r="H32" s="5" t="s">
        <v>250</v>
      </c>
      <c r="I32" s="22" t="s">
        <v>251</v>
      </c>
      <c r="J32" s="23" t="s">
        <v>49</v>
      </c>
    </row>
    <row r="33" customFormat="false" ht="32.8" hidden="false" customHeight="false" outlineLevel="0" collapsed="false">
      <c r="A33" s="19" t="n">
        <v>29</v>
      </c>
      <c r="B33" s="19" t="s">
        <v>231</v>
      </c>
      <c r="C33" s="6" t="s">
        <v>232</v>
      </c>
      <c r="D33" s="7" t="s">
        <v>252</v>
      </c>
      <c r="E33" s="20" t="s">
        <v>253</v>
      </c>
      <c r="F33" s="21" t="s">
        <v>155</v>
      </c>
      <c r="G33" s="5" t="s">
        <v>171</v>
      </c>
      <c r="H33" s="5" t="s">
        <v>236</v>
      </c>
      <c r="I33" s="22" t="s">
        <v>254</v>
      </c>
      <c r="J33" s="24" t="s">
        <v>51</v>
      </c>
    </row>
    <row r="34" customFormat="false" ht="43.25" hidden="false" customHeight="false" outlineLevel="0" collapsed="false">
      <c r="A34" s="19" t="n">
        <v>30</v>
      </c>
      <c r="B34" s="19" t="s">
        <v>231</v>
      </c>
      <c r="C34" s="6" t="s">
        <v>232</v>
      </c>
      <c r="D34" s="7" t="s">
        <v>255</v>
      </c>
      <c r="E34" s="20" t="s">
        <v>256</v>
      </c>
      <c r="F34" s="21" t="s">
        <v>155</v>
      </c>
      <c r="G34" s="5" t="s">
        <v>166</v>
      </c>
      <c r="H34" s="5" t="s">
        <v>180</v>
      </c>
      <c r="I34" s="22" t="s">
        <v>257</v>
      </c>
      <c r="J34" s="23" t="s">
        <v>49</v>
      </c>
    </row>
    <row r="35" customFormat="false" ht="22.35" hidden="false" customHeight="false" outlineLevel="0" collapsed="false">
      <c r="A35" s="19" t="n">
        <v>31</v>
      </c>
      <c r="B35" s="19" t="s">
        <v>231</v>
      </c>
      <c r="C35" s="6" t="s">
        <v>258</v>
      </c>
      <c r="D35" s="7" t="s">
        <v>259</v>
      </c>
      <c r="E35" s="20" t="s">
        <v>260</v>
      </c>
      <c r="F35" s="21" t="s">
        <v>171</v>
      </c>
      <c r="G35" s="5" t="s">
        <v>205</v>
      </c>
      <c r="H35" s="5" t="s">
        <v>261</v>
      </c>
      <c r="I35" s="22" t="s">
        <v>262</v>
      </c>
      <c r="J35" s="23" t="s">
        <v>49</v>
      </c>
    </row>
    <row r="36" customFormat="false" ht="32.8" hidden="false" customHeight="false" outlineLevel="0" collapsed="false">
      <c r="A36" s="19" t="n">
        <v>32</v>
      </c>
      <c r="B36" s="19" t="s">
        <v>231</v>
      </c>
      <c r="C36" s="6" t="s">
        <v>258</v>
      </c>
      <c r="D36" s="7" t="s">
        <v>263</v>
      </c>
      <c r="E36" s="20" t="s">
        <v>260</v>
      </c>
      <c r="F36" s="21" t="s">
        <v>171</v>
      </c>
      <c r="G36" s="5" t="s">
        <v>166</v>
      </c>
      <c r="H36" s="5" t="s">
        <v>261</v>
      </c>
      <c r="I36" s="22" t="s">
        <v>264</v>
      </c>
      <c r="J36" s="23" t="s">
        <v>49</v>
      </c>
    </row>
    <row r="37" customFormat="false" ht="22.35" hidden="false" customHeight="false" outlineLevel="0" collapsed="false">
      <c r="A37" s="19" t="n">
        <v>33</v>
      </c>
      <c r="B37" s="19" t="s">
        <v>231</v>
      </c>
      <c r="C37" s="6" t="s">
        <v>258</v>
      </c>
      <c r="D37" s="7" t="s">
        <v>265</v>
      </c>
      <c r="E37" s="20" t="s">
        <v>266</v>
      </c>
      <c r="F37" s="21" t="s">
        <v>171</v>
      </c>
      <c r="G37" s="5" t="s">
        <v>205</v>
      </c>
      <c r="H37" s="5" t="s">
        <v>267</v>
      </c>
      <c r="I37" s="22" t="s">
        <v>268</v>
      </c>
      <c r="J37" s="23" t="s">
        <v>49</v>
      </c>
    </row>
    <row r="38" customFormat="false" ht="22.35" hidden="false" customHeight="false" outlineLevel="0" collapsed="false">
      <c r="A38" s="19" t="n">
        <v>34</v>
      </c>
      <c r="B38" s="19" t="s">
        <v>231</v>
      </c>
      <c r="C38" s="6" t="s">
        <v>258</v>
      </c>
      <c r="D38" s="7" t="s">
        <v>269</v>
      </c>
      <c r="E38" s="20" t="s">
        <v>270</v>
      </c>
      <c r="F38" s="21" t="s">
        <v>171</v>
      </c>
      <c r="G38" s="5" t="s">
        <v>166</v>
      </c>
      <c r="H38" s="5" t="s">
        <v>271</v>
      </c>
      <c r="I38" s="22" t="s">
        <v>272</v>
      </c>
      <c r="J38" s="24" t="s">
        <v>51</v>
      </c>
    </row>
    <row r="39" customFormat="false" ht="32.8" hidden="false" customHeight="false" outlineLevel="0" collapsed="false">
      <c r="A39" s="19" t="n">
        <v>35</v>
      </c>
      <c r="B39" s="19" t="s">
        <v>231</v>
      </c>
      <c r="C39" s="6" t="s">
        <v>258</v>
      </c>
      <c r="D39" s="7" t="s">
        <v>273</v>
      </c>
      <c r="E39" s="20" t="s">
        <v>274</v>
      </c>
      <c r="F39" s="21" t="s">
        <v>171</v>
      </c>
      <c r="G39" s="5" t="s">
        <v>205</v>
      </c>
      <c r="H39" s="5" t="s">
        <v>271</v>
      </c>
      <c r="I39" s="22" t="s">
        <v>275</v>
      </c>
      <c r="J39" s="23" t="s">
        <v>49</v>
      </c>
    </row>
    <row r="40" customFormat="false" ht="32.8" hidden="false" customHeight="false" outlineLevel="0" collapsed="false">
      <c r="A40" s="19" t="n">
        <v>36</v>
      </c>
      <c r="B40" s="19" t="s">
        <v>231</v>
      </c>
      <c r="C40" s="6" t="s">
        <v>258</v>
      </c>
      <c r="D40" s="7" t="s">
        <v>276</v>
      </c>
      <c r="E40" s="20" t="s">
        <v>277</v>
      </c>
      <c r="F40" s="21" t="s">
        <v>171</v>
      </c>
      <c r="G40" s="5" t="s">
        <v>166</v>
      </c>
      <c r="H40" s="5" t="s">
        <v>278</v>
      </c>
      <c r="I40" s="22" t="s">
        <v>279</v>
      </c>
      <c r="J40" s="24" t="s">
        <v>51</v>
      </c>
    </row>
    <row r="41" customFormat="false" ht="32.8" hidden="false" customHeight="false" outlineLevel="0" collapsed="false">
      <c r="A41" s="19" t="n">
        <v>37</v>
      </c>
      <c r="B41" s="19" t="s">
        <v>231</v>
      </c>
      <c r="C41" s="6" t="s">
        <v>258</v>
      </c>
      <c r="D41" s="7" t="s">
        <v>280</v>
      </c>
      <c r="E41" s="20" t="s">
        <v>281</v>
      </c>
      <c r="F41" s="21" t="s">
        <v>171</v>
      </c>
      <c r="G41" s="5" t="s">
        <v>235</v>
      </c>
      <c r="H41" s="5" t="s">
        <v>278</v>
      </c>
      <c r="I41" s="22" t="s">
        <v>282</v>
      </c>
      <c r="J41" s="24" t="s">
        <v>51</v>
      </c>
    </row>
    <row r="42" customFormat="false" ht="32.8" hidden="false" customHeight="false" outlineLevel="0" collapsed="false">
      <c r="A42" s="19" t="n">
        <v>38</v>
      </c>
      <c r="B42" s="19" t="s">
        <v>283</v>
      </c>
      <c r="C42" s="6" t="s">
        <v>284</v>
      </c>
      <c r="D42" s="7" t="s">
        <v>285</v>
      </c>
      <c r="E42" s="20" t="s">
        <v>286</v>
      </c>
      <c r="F42" s="21" t="s">
        <v>166</v>
      </c>
      <c r="G42" s="5" t="s">
        <v>186</v>
      </c>
      <c r="H42" s="5" t="s">
        <v>138</v>
      </c>
      <c r="I42" s="22" t="s">
        <v>287</v>
      </c>
      <c r="J42" s="23" t="s">
        <v>49</v>
      </c>
    </row>
    <row r="43" customFormat="false" ht="32.8" hidden="false" customHeight="false" outlineLevel="0" collapsed="false">
      <c r="A43" s="19" t="n">
        <v>39</v>
      </c>
      <c r="B43" s="19" t="s">
        <v>283</v>
      </c>
      <c r="C43" s="6" t="s">
        <v>284</v>
      </c>
      <c r="D43" s="7" t="s">
        <v>288</v>
      </c>
      <c r="E43" s="20" t="s">
        <v>289</v>
      </c>
      <c r="F43" s="21" t="s">
        <v>166</v>
      </c>
      <c r="G43" s="5" t="s">
        <v>171</v>
      </c>
      <c r="H43" s="5" t="s">
        <v>278</v>
      </c>
      <c r="I43" s="22" t="s">
        <v>290</v>
      </c>
      <c r="J43" s="24" t="s">
        <v>51</v>
      </c>
    </row>
    <row r="44" customFormat="false" ht="32.8" hidden="false" customHeight="false" outlineLevel="0" collapsed="false">
      <c r="A44" s="19" t="n">
        <v>40</v>
      </c>
      <c r="B44" s="19" t="s">
        <v>283</v>
      </c>
      <c r="C44" s="6" t="s">
        <v>284</v>
      </c>
      <c r="D44" s="7" t="s">
        <v>291</v>
      </c>
      <c r="E44" s="20" t="s">
        <v>292</v>
      </c>
      <c r="F44" s="21" t="s">
        <v>166</v>
      </c>
      <c r="G44" s="5" t="s">
        <v>171</v>
      </c>
      <c r="H44" s="5" t="s">
        <v>293</v>
      </c>
      <c r="I44" s="22" t="s">
        <v>294</v>
      </c>
      <c r="J44" s="23" t="s">
        <v>49</v>
      </c>
    </row>
    <row r="45" customFormat="false" ht="22.35" hidden="false" customHeight="false" outlineLevel="0" collapsed="false">
      <c r="A45" s="19" t="n">
        <v>41</v>
      </c>
      <c r="B45" s="19" t="s">
        <v>283</v>
      </c>
      <c r="C45" s="6" t="s">
        <v>284</v>
      </c>
      <c r="D45" s="7" t="s">
        <v>295</v>
      </c>
      <c r="E45" s="20" t="s">
        <v>296</v>
      </c>
      <c r="F45" s="21" t="s">
        <v>166</v>
      </c>
      <c r="G45" s="5" t="s">
        <v>210</v>
      </c>
      <c r="H45" s="5" t="s">
        <v>297</v>
      </c>
      <c r="I45" s="22" t="s">
        <v>298</v>
      </c>
      <c r="J45" s="25" t="s">
        <v>53</v>
      </c>
    </row>
    <row r="46" customFormat="false" ht="22.35" hidden="false" customHeight="false" outlineLevel="0" collapsed="false">
      <c r="A46" s="19" t="n">
        <v>42</v>
      </c>
      <c r="B46" s="19" t="s">
        <v>299</v>
      </c>
      <c r="C46" s="6" t="s">
        <v>300</v>
      </c>
      <c r="D46" s="7" t="s">
        <v>301</v>
      </c>
      <c r="E46" s="20" t="s">
        <v>302</v>
      </c>
      <c r="F46" s="21" t="s">
        <v>235</v>
      </c>
      <c r="G46" s="5" t="s">
        <v>186</v>
      </c>
      <c r="H46" s="5" t="s">
        <v>250</v>
      </c>
      <c r="I46" s="22" t="s">
        <v>303</v>
      </c>
      <c r="J46" s="25" t="s">
        <v>53</v>
      </c>
    </row>
    <row r="47" customFormat="false" ht="22.35" hidden="false" customHeight="false" outlineLevel="0" collapsed="false">
      <c r="A47" s="19" t="n">
        <v>43</v>
      </c>
      <c r="B47" s="19" t="s">
        <v>299</v>
      </c>
      <c r="C47" s="6" t="s">
        <v>300</v>
      </c>
      <c r="D47" s="7" t="s">
        <v>304</v>
      </c>
      <c r="E47" s="20" t="s">
        <v>302</v>
      </c>
      <c r="F47" s="21" t="s">
        <v>235</v>
      </c>
      <c r="G47" s="5" t="s">
        <v>171</v>
      </c>
      <c r="H47" s="5" t="s">
        <v>250</v>
      </c>
      <c r="I47" s="22" t="s">
        <v>305</v>
      </c>
      <c r="J47" s="25" t="s">
        <v>53</v>
      </c>
    </row>
    <row r="48" customFormat="false" ht="22.35" hidden="false" customHeight="false" outlineLevel="0" collapsed="false">
      <c r="A48" s="19" t="n">
        <v>44</v>
      </c>
      <c r="B48" s="19" t="s">
        <v>299</v>
      </c>
      <c r="C48" s="6" t="s">
        <v>300</v>
      </c>
      <c r="D48" s="7" t="s">
        <v>306</v>
      </c>
      <c r="E48" s="20" t="s">
        <v>302</v>
      </c>
      <c r="F48" s="21" t="s">
        <v>235</v>
      </c>
      <c r="G48" s="5" t="s">
        <v>307</v>
      </c>
      <c r="H48" s="5" t="s">
        <v>308</v>
      </c>
      <c r="I48" s="22" t="s">
        <v>309</v>
      </c>
      <c r="J48" s="25" t="s">
        <v>53</v>
      </c>
    </row>
    <row r="49" customFormat="false" ht="22.35" hidden="false" customHeight="false" outlineLevel="0" collapsed="false">
      <c r="A49" s="19" t="n">
        <v>45</v>
      </c>
      <c r="B49" s="19" t="s">
        <v>299</v>
      </c>
      <c r="C49" s="6" t="s">
        <v>300</v>
      </c>
      <c r="D49" s="7" t="s">
        <v>310</v>
      </c>
      <c r="E49" s="20" t="s">
        <v>302</v>
      </c>
      <c r="F49" s="21" t="s">
        <v>235</v>
      </c>
      <c r="G49" s="5" t="s">
        <v>171</v>
      </c>
      <c r="H49" s="5" t="s">
        <v>278</v>
      </c>
      <c r="I49" s="22" t="s">
        <v>311</v>
      </c>
      <c r="J49" s="25" t="s">
        <v>53</v>
      </c>
    </row>
    <row r="50" customFormat="false" ht="32.8" hidden="false" customHeight="false" outlineLevel="0" collapsed="false">
      <c r="A50" s="19" t="n">
        <v>46</v>
      </c>
      <c r="B50" s="19" t="s">
        <v>299</v>
      </c>
      <c r="C50" s="6" t="s">
        <v>300</v>
      </c>
      <c r="D50" s="7" t="s">
        <v>312</v>
      </c>
      <c r="E50" s="20" t="s">
        <v>302</v>
      </c>
      <c r="F50" s="21" t="s">
        <v>235</v>
      </c>
      <c r="G50" s="5" t="s">
        <v>307</v>
      </c>
      <c r="H50" s="5" t="s">
        <v>313</v>
      </c>
      <c r="I50" s="22" t="s">
        <v>314</v>
      </c>
      <c r="J50" s="25" t="s">
        <v>53</v>
      </c>
    </row>
    <row r="51" customFormat="false" ht="22.35" hidden="false" customHeight="false" outlineLevel="0" collapsed="false">
      <c r="A51" s="19" t="n">
        <v>47</v>
      </c>
      <c r="B51" s="19" t="s">
        <v>299</v>
      </c>
      <c r="C51" s="6" t="s">
        <v>300</v>
      </c>
      <c r="D51" s="7" t="s">
        <v>315</v>
      </c>
      <c r="E51" s="20" t="s">
        <v>302</v>
      </c>
      <c r="F51" s="21" t="s">
        <v>235</v>
      </c>
      <c r="G51" s="5" t="s">
        <v>205</v>
      </c>
      <c r="H51" s="5" t="s">
        <v>138</v>
      </c>
      <c r="I51" s="22" t="s">
        <v>316</v>
      </c>
      <c r="J51" s="25" t="s">
        <v>53</v>
      </c>
    </row>
    <row r="52" customFormat="false" ht="22.35" hidden="false" customHeight="true" outlineLevel="0" collapsed="false">
      <c r="A52" s="6" t="s">
        <v>317</v>
      </c>
      <c r="B52" s="6"/>
      <c r="C52" s="6"/>
      <c r="D52" s="16" t="s">
        <v>318</v>
      </c>
    </row>
  </sheetData>
  <autoFilter ref="A4:J51"/>
  <mergeCells count="3">
    <mergeCell ref="A1:J1"/>
    <mergeCell ref="A2:J2"/>
    <mergeCell ref="A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319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320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4" t="s">
        <v>21</v>
      </c>
      <c r="B4" s="4" t="s">
        <v>129</v>
      </c>
      <c r="C4" s="4" t="s">
        <v>321</v>
      </c>
      <c r="D4" s="4" t="s">
        <v>322</v>
      </c>
      <c r="E4" s="4" t="s">
        <v>323</v>
      </c>
      <c r="F4" s="4" t="s">
        <v>324</v>
      </c>
    </row>
    <row r="5" customFormat="false" ht="22.35" hidden="false" customHeight="false" outlineLevel="0" collapsed="false">
      <c r="A5" s="26" t="s">
        <v>325</v>
      </c>
      <c r="B5" s="5" t="s">
        <v>13</v>
      </c>
      <c r="C5" s="6" t="s">
        <v>326</v>
      </c>
      <c r="D5" s="7" t="s">
        <v>327</v>
      </c>
      <c r="E5" s="7" t="s">
        <v>328</v>
      </c>
      <c r="F5" s="25" t="s">
        <v>329</v>
      </c>
    </row>
    <row r="6" customFormat="false" ht="22.35" hidden="false" customHeight="false" outlineLevel="0" collapsed="false">
      <c r="A6" s="26" t="s">
        <v>132</v>
      </c>
      <c r="B6" s="5" t="s">
        <v>13</v>
      </c>
      <c r="C6" s="6" t="s">
        <v>330</v>
      </c>
      <c r="D6" s="7" t="s">
        <v>331</v>
      </c>
      <c r="E6" s="7" t="s">
        <v>332</v>
      </c>
      <c r="F6" s="25" t="s">
        <v>329</v>
      </c>
    </row>
    <row r="7" customFormat="false" ht="22.35" hidden="false" customHeight="false" outlineLevel="0" collapsed="false">
      <c r="A7" s="26" t="s">
        <v>132</v>
      </c>
      <c r="B7" s="5" t="s">
        <v>13</v>
      </c>
      <c r="C7" s="6" t="s">
        <v>333</v>
      </c>
      <c r="D7" s="7" t="s">
        <v>334</v>
      </c>
      <c r="E7" s="7" t="s">
        <v>335</v>
      </c>
      <c r="F7" s="25" t="s">
        <v>329</v>
      </c>
    </row>
    <row r="8" customFormat="false" ht="22.35" hidden="false" customHeight="false" outlineLevel="0" collapsed="false">
      <c r="A8" s="26" t="s">
        <v>132</v>
      </c>
      <c r="B8" s="5" t="s">
        <v>13</v>
      </c>
      <c r="C8" s="6" t="s">
        <v>336</v>
      </c>
      <c r="D8" s="7" t="s">
        <v>337</v>
      </c>
      <c r="E8" s="7" t="s">
        <v>338</v>
      </c>
      <c r="F8" s="25" t="s">
        <v>329</v>
      </c>
    </row>
    <row r="9" customFormat="false" ht="22.35" hidden="false" customHeight="false" outlineLevel="0" collapsed="false">
      <c r="A9" s="26" t="s">
        <v>132</v>
      </c>
      <c r="B9" s="5" t="s">
        <v>13</v>
      </c>
      <c r="C9" s="6" t="s">
        <v>339</v>
      </c>
      <c r="D9" s="7" t="s">
        <v>340</v>
      </c>
      <c r="E9" s="7" t="s">
        <v>341</v>
      </c>
      <c r="F9" s="25" t="s">
        <v>329</v>
      </c>
    </row>
    <row r="10" customFormat="false" ht="22.35" hidden="false" customHeight="false" outlineLevel="0" collapsed="false">
      <c r="A10" s="26" t="s">
        <v>162</v>
      </c>
      <c r="B10" s="5" t="s">
        <v>13</v>
      </c>
      <c r="C10" s="6" t="s">
        <v>342</v>
      </c>
      <c r="D10" s="7" t="s">
        <v>343</v>
      </c>
      <c r="E10" s="7" t="s">
        <v>344</v>
      </c>
      <c r="F10" s="25" t="s">
        <v>329</v>
      </c>
    </row>
    <row r="11" customFormat="false" ht="22.35" hidden="false" customHeight="false" outlineLevel="0" collapsed="false">
      <c r="A11" s="26" t="s">
        <v>182</v>
      </c>
      <c r="B11" s="5" t="s">
        <v>13</v>
      </c>
      <c r="C11" s="6" t="s">
        <v>345</v>
      </c>
      <c r="D11" s="7" t="s">
        <v>346</v>
      </c>
      <c r="E11" s="7" t="s">
        <v>347</v>
      </c>
      <c r="F11" s="25" t="s">
        <v>329</v>
      </c>
    </row>
    <row r="12" customFormat="false" ht="22.35" hidden="false" customHeight="false" outlineLevel="0" collapsed="false">
      <c r="A12" s="26" t="s">
        <v>182</v>
      </c>
      <c r="B12" s="5" t="s">
        <v>13</v>
      </c>
      <c r="C12" s="6" t="s">
        <v>348</v>
      </c>
      <c r="D12" s="7" t="s">
        <v>349</v>
      </c>
      <c r="E12" s="7" t="s">
        <v>350</v>
      </c>
      <c r="F12" s="25" t="s">
        <v>329</v>
      </c>
    </row>
    <row r="13" customFormat="false" ht="22.35" hidden="false" customHeight="false" outlineLevel="0" collapsed="false">
      <c r="A13" s="26" t="s">
        <v>231</v>
      </c>
      <c r="B13" s="5" t="s">
        <v>351</v>
      </c>
      <c r="C13" s="6" t="s">
        <v>352</v>
      </c>
      <c r="D13" s="7" t="s">
        <v>353</v>
      </c>
      <c r="E13" s="7" t="s">
        <v>354</v>
      </c>
      <c r="F13" s="23" t="s">
        <v>355</v>
      </c>
    </row>
    <row r="14" customFormat="false" ht="22.35" hidden="false" customHeight="false" outlineLevel="0" collapsed="false">
      <c r="A14" s="26" t="s">
        <v>283</v>
      </c>
      <c r="B14" s="5" t="s">
        <v>356</v>
      </c>
      <c r="C14" s="6" t="s">
        <v>357</v>
      </c>
      <c r="D14" s="7" t="s">
        <v>358</v>
      </c>
      <c r="E14" s="7" t="s">
        <v>359</v>
      </c>
      <c r="F14" s="24" t="s">
        <v>360</v>
      </c>
    </row>
    <row r="15" customFormat="false" ht="22.35" hidden="false" customHeight="false" outlineLevel="0" collapsed="false">
      <c r="A15" s="26" t="s">
        <v>299</v>
      </c>
      <c r="B15" s="5" t="s">
        <v>55</v>
      </c>
      <c r="C15" s="6" t="s">
        <v>326</v>
      </c>
      <c r="D15" s="7" t="s">
        <v>361</v>
      </c>
      <c r="E15" s="7" t="s">
        <v>362</v>
      </c>
      <c r="F15" s="25" t="s">
        <v>329</v>
      </c>
    </row>
    <row r="16" customFormat="false" ht="22.35" hidden="false" customHeight="false" outlineLevel="0" collapsed="false">
      <c r="A16" s="26" t="s">
        <v>363</v>
      </c>
      <c r="B16" s="5" t="s">
        <v>364</v>
      </c>
      <c r="C16" s="6" t="s">
        <v>365</v>
      </c>
      <c r="D16" s="7" t="s">
        <v>366</v>
      </c>
      <c r="E16" s="7" t="s">
        <v>367</v>
      </c>
      <c r="F16" s="24" t="s">
        <v>368</v>
      </c>
    </row>
    <row r="18" customFormat="false" ht="19.5" hidden="false" customHeight="true" outlineLevel="0" collapsed="false">
      <c r="A18" s="3" t="s">
        <v>369</v>
      </c>
      <c r="B18" s="3"/>
      <c r="C18" s="3"/>
      <c r="D18" s="3"/>
      <c r="E18" s="3"/>
      <c r="F18" s="3"/>
    </row>
    <row r="19" customFormat="false" ht="15" hidden="false" customHeight="true" outlineLevel="0" collapsed="false">
      <c r="A19" s="27" t="s">
        <v>370</v>
      </c>
      <c r="B19" s="27"/>
      <c r="C19" s="27"/>
      <c r="D19" s="27"/>
      <c r="E19" s="27"/>
      <c r="F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</row>
  </sheetData>
  <mergeCells count="4">
    <mergeCell ref="A1:F1"/>
    <mergeCell ref="A2:F2"/>
    <mergeCell ref="A18:F18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26"/>
    <col collapsed="false" customWidth="true" hidden="false" outlineLevel="0" max="8" min="7" style="0" width="13"/>
  </cols>
  <sheetData>
    <row r="1" customFormat="false" ht="25.5" hidden="false" customHeight="true" outlineLevel="0" collapsed="false">
      <c r="A1" s="1" t="s">
        <v>371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372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3</v>
      </c>
      <c r="B4" s="4" t="s">
        <v>373</v>
      </c>
      <c r="C4" s="4" t="s">
        <v>374</v>
      </c>
      <c r="D4" s="4" t="s">
        <v>375</v>
      </c>
      <c r="E4" s="4" t="s">
        <v>376</v>
      </c>
      <c r="F4" s="4" t="s">
        <v>377</v>
      </c>
      <c r="G4" s="4" t="s">
        <v>378</v>
      </c>
      <c r="H4" s="4" t="s">
        <v>324</v>
      </c>
    </row>
    <row r="5" customFormat="false" ht="22.35" hidden="false" customHeight="false" outlineLevel="0" collapsed="false">
      <c r="A5" s="19" t="n">
        <v>1</v>
      </c>
      <c r="B5" s="6" t="s">
        <v>379</v>
      </c>
      <c r="C5" s="7" t="s">
        <v>380</v>
      </c>
      <c r="D5" s="5" t="s">
        <v>171</v>
      </c>
      <c r="E5" s="5" t="s">
        <v>205</v>
      </c>
      <c r="F5" s="28" t="s">
        <v>381</v>
      </c>
      <c r="G5" s="5" t="s">
        <v>261</v>
      </c>
      <c r="H5" s="23" t="s">
        <v>382</v>
      </c>
    </row>
    <row r="6" customFormat="false" ht="32.8" hidden="false" customHeight="false" outlineLevel="0" collapsed="false">
      <c r="A6" s="19" t="n">
        <v>2</v>
      </c>
      <c r="B6" s="6" t="s">
        <v>246</v>
      </c>
      <c r="C6" s="7" t="s">
        <v>383</v>
      </c>
      <c r="D6" s="5" t="s">
        <v>171</v>
      </c>
      <c r="E6" s="5" t="s">
        <v>205</v>
      </c>
      <c r="F6" s="28" t="s">
        <v>384</v>
      </c>
      <c r="G6" s="5" t="s">
        <v>261</v>
      </c>
      <c r="H6" s="23" t="s">
        <v>382</v>
      </c>
    </row>
    <row r="7" customFormat="false" ht="32.8" hidden="false" customHeight="false" outlineLevel="0" collapsed="false">
      <c r="A7" s="19" t="n">
        <v>3</v>
      </c>
      <c r="B7" s="6" t="s">
        <v>385</v>
      </c>
      <c r="C7" s="7" t="s">
        <v>386</v>
      </c>
      <c r="D7" s="5" t="s">
        <v>171</v>
      </c>
      <c r="E7" s="5" t="s">
        <v>205</v>
      </c>
      <c r="F7" s="28" t="s">
        <v>387</v>
      </c>
      <c r="G7" s="5" t="s">
        <v>267</v>
      </c>
      <c r="H7" s="23" t="s">
        <v>382</v>
      </c>
    </row>
    <row r="8" customFormat="false" ht="43.25" hidden="false" customHeight="false" outlineLevel="0" collapsed="false">
      <c r="A8" s="19" t="n">
        <v>4</v>
      </c>
      <c r="B8" s="6" t="s">
        <v>246</v>
      </c>
      <c r="C8" s="7" t="s">
        <v>388</v>
      </c>
      <c r="D8" s="5" t="s">
        <v>171</v>
      </c>
      <c r="E8" s="5" t="s">
        <v>205</v>
      </c>
      <c r="F8" s="28" t="s">
        <v>389</v>
      </c>
      <c r="G8" s="5" t="s">
        <v>271</v>
      </c>
      <c r="H8" s="23" t="s">
        <v>382</v>
      </c>
    </row>
    <row r="9" customFormat="false" ht="22.35" hidden="false" customHeight="false" outlineLevel="0" collapsed="false">
      <c r="A9" s="19" t="n">
        <v>5</v>
      </c>
      <c r="B9" s="6" t="s">
        <v>246</v>
      </c>
      <c r="C9" s="7" t="s">
        <v>390</v>
      </c>
      <c r="D9" s="5" t="s">
        <v>171</v>
      </c>
      <c r="E9" s="5" t="s">
        <v>205</v>
      </c>
      <c r="F9" s="28" t="s">
        <v>391</v>
      </c>
      <c r="G9" s="5" t="s">
        <v>271</v>
      </c>
      <c r="H9" s="24" t="s">
        <v>392</v>
      </c>
    </row>
    <row r="10" customFormat="false" ht="32.8" hidden="false" customHeight="false" outlineLevel="0" collapsed="false">
      <c r="A10" s="19" t="n">
        <v>6</v>
      </c>
      <c r="B10" s="6" t="s">
        <v>246</v>
      </c>
      <c r="C10" s="7" t="s">
        <v>393</v>
      </c>
      <c r="D10" s="5" t="s">
        <v>171</v>
      </c>
      <c r="E10" s="5" t="s">
        <v>205</v>
      </c>
      <c r="F10" s="28" t="s">
        <v>394</v>
      </c>
      <c r="G10" s="5" t="s">
        <v>271</v>
      </c>
      <c r="H10" s="24" t="s">
        <v>392</v>
      </c>
    </row>
    <row r="11" customFormat="false" ht="22.35" hidden="false" customHeight="false" outlineLevel="0" collapsed="false">
      <c r="A11" s="19" t="n">
        <v>7</v>
      </c>
      <c r="B11" s="6" t="s">
        <v>246</v>
      </c>
      <c r="C11" s="7" t="s">
        <v>395</v>
      </c>
      <c r="D11" s="5" t="s">
        <v>171</v>
      </c>
      <c r="E11" s="5" t="s">
        <v>205</v>
      </c>
      <c r="F11" s="28" t="s">
        <v>396</v>
      </c>
      <c r="G11" s="5" t="s">
        <v>271</v>
      </c>
      <c r="H11" s="24" t="s">
        <v>392</v>
      </c>
    </row>
    <row r="12" customFormat="false" ht="32.8" hidden="false" customHeight="false" outlineLevel="0" collapsed="false">
      <c r="A12" s="19" t="n">
        <v>8</v>
      </c>
      <c r="B12" s="6" t="s">
        <v>246</v>
      </c>
      <c r="C12" s="7" t="s">
        <v>397</v>
      </c>
      <c r="D12" s="5" t="s">
        <v>171</v>
      </c>
      <c r="E12" s="5" t="s">
        <v>205</v>
      </c>
      <c r="F12" s="28" t="s">
        <v>398</v>
      </c>
      <c r="G12" s="5" t="s">
        <v>236</v>
      </c>
      <c r="H12" s="24" t="s">
        <v>392</v>
      </c>
    </row>
    <row r="13" customFormat="false" ht="22.35" hidden="false" customHeight="false" outlineLevel="0" collapsed="false">
      <c r="A13" s="19" t="n">
        <v>9</v>
      </c>
      <c r="B13" s="6" t="s">
        <v>246</v>
      </c>
      <c r="C13" s="7" t="s">
        <v>399</v>
      </c>
      <c r="D13" s="5" t="s">
        <v>171</v>
      </c>
      <c r="E13" s="5" t="s">
        <v>205</v>
      </c>
      <c r="F13" s="28" t="s">
        <v>400</v>
      </c>
      <c r="G13" s="5" t="s">
        <v>401</v>
      </c>
      <c r="H13" s="24" t="s">
        <v>392</v>
      </c>
    </row>
    <row r="14" customFormat="false" ht="22.35" hidden="false" customHeight="false" outlineLevel="0" collapsed="false">
      <c r="A14" s="19" t="n">
        <v>10</v>
      </c>
      <c r="B14" s="6" t="s">
        <v>246</v>
      </c>
      <c r="C14" s="7" t="s">
        <v>402</v>
      </c>
      <c r="D14" s="5" t="s">
        <v>171</v>
      </c>
      <c r="E14" s="5" t="s">
        <v>205</v>
      </c>
      <c r="F14" s="28" t="s">
        <v>403</v>
      </c>
      <c r="G14" s="5" t="s">
        <v>271</v>
      </c>
      <c r="H14" s="24" t="s">
        <v>392</v>
      </c>
    </row>
    <row r="15" customFormat="false" ht="32.8" hidden="false" customHeight="false" outlineLevel="0" collapsed="false">
      <c r="A15" s="19" t="n">
        <v>11</v>
      </c>
      <c r="B15" s="6" t="s">
        <v>404</v>
      </c>
      <c r="C15" s="7" t="s">
        <v>405</v>
      </c>
      <c r="D15" s="5" t="s">
        <v>210</v>
      </c>
      <c r="E15" s="5" t="s">
        <v>205</v>
      </c>
      <c r="F15" s="28" t="s">
        <v>406</v>
      </c>
      <c r="G15" s="5" t="s">
        <v>222</v>
      </c>
      <c r="H15" s="23" t="s">
        <v>382</v>
      </c>
    </row>
    <row r="16" customFormat="false" ht="32.8" hidden="false" customHeight="false" outlineLevel="0" collapsed="false">
      <c r="A16" s="19" t="n">
        <v>12</v>
      </c>
      <c r="B16" s="6" t="s">
        <v>407</v>
      </c>
      <c r="C16" s="7" t="s">
        <v>408</v>
      </c>
      <c r="D16" s="5" t="s">
        <v>136</v>
      </c>
      <c r="E16" s="5" t="s">
        <v>205</v>
      </c>
      <c r="F16" s="28" t="s">
        <v>409</v>
      </c>
      <c r="G16" s="5" t="s">
        <v>410</v>
      </c>
      <c r="H16" s="24" t="s">
        <v>392</v>
      </c>
    </row>
    <row r="17" customFormat="false" ht="32.8" hidden="false" customHeight="false" outlineLevel="0" collapsed="false">
      <c r="A17" s="19" t="n">
        <v>13</v>
      </c>
      <c r="B17" s="6" t="s">
        <v>411</v>
      </c>
      <c r="C17" s="7" t="s">
        <v>412</v>
      </c>
      <c r="D17" s="5" t="s">
        <v>142</v>
      </c>
      <c r="E17" s="5" t="s">
        <v>186</v>
      </c>
      <c r="F17" s="28" t="s">
        <v>413</v>
      </c>
      <c r="G17" s="5" t="s">
        <v>414</v>
      </c>
      <c r="H17" s="24" t="s">
        <v>415</v>
      </c>
    </row>
    <row r="18" customFormat="false" ht="22.35" hidden="false" customHeight="false" outlineLevel="0" collapsed="false">
      <c r="A18" s="19" t="n">
        <v>14</v>
      </c>
      <c r="B18" s="6" t="s">
        <v>416</v>
      </c>
      <c r="C18" s="7" t="s">
        <v>417</v>
      </c>
      <c r="D18" s="5" t="s">
        <v>210</v>
      </c>
      <c r="E18" s="5" t="s">
        <v>186</v>
      </c>
      <c r="F18" s="28" t="s">
        <v>418</v>
      </c>
      <c r="G18" s="5" t="s">
        <v>215</v>
      </c>
      <c r="H18" s="24" t="s">
        <v>415</v>
      </c>
    </row>
    <row r="19" customFormat="false" ht="32.8" hidden="false" customHeight="false" outlineLevel="0" collapsed="false">
      <c r="A19" s="19" t="n">
        <v>15</v>
      </c>
      <c r="B19" s="6" t="s">
        <v>419</v>
      </c>
      <c r="C19" s="7" t="s">
        <v>420</v>
      </c>
      <c r="D19" s="5" t="s">
        <v>155</v>
      </c>
      <c r="E19" s="5" t="s">
        <v>205</v>
      </c>
      <c r="F19" s="28" t="s">
        <v>421</v>
      </c>
      <c r="G19" s="5" t="s">
        <v>240</v>
      </c>
      <c r="H19" s="24" t="s">
        <v>392</v>
      </c>
    </row>
    <row r="20" customFormat="false" ht="19.4" hidden="false" customHeight="true" outlineLevel="0" collapsed="false">
      <c r="A20" s="20" t="s">
        <v>422</v>
      </c>
      <c r="B20" s="20"/>
      <c r="C20" s="20"/>
      <c r="D20" s="20"/>
      <c r="E20" s="20"/>
      <c r="F20" s="20"/>
      <c r="G20" s="20"/>
      <c r="H20" s="20"/>
    </row>
  </sheetData>
  <mergeCells count="3">
    <mergeCell ref="A1:H1"/>
    <mergeCell ref="A2:H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2"/>
  </cols>
  <sheetData>
    <row r="1" customFormat="false" ht="25.5" hidden="false" customHeight="true" outlineLevel="0" collapsed="false">
      <c r="A1" s="1" t="s">
        <v>423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424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4" t="s">
        <v>425</v>
      </c>
      <c r="B4" s="4" t="s">
        <v>426</v>
      </c>
      <c r="C4" s="4" t="s">
        <v>427</v>
      </c>
      <c r="D4" s="4" t="s">
        <v>428</v>
      </c>
      <c r="E4" s="4" t="s">
        <v>429</v>
      </c>
      <c r="F4" s="4" t="s">
        <v>430</v>
      </c>
    </row>
    <row r="5" customFormat="false" ht="43.25" hidden="false" customHeight="false" outlineLevel="0" collapsed="false">
      <c r="A5" s="29" t="s">
        <v>431</v>
      </c>
      <c r="B5" s="6" t="s">
        <v>432</v>
      </c>
      <c r="C5" s="22" t="s">
        <v>433</v>
      </c>
      <c r="D5" s="7" t="s">
        <v>434</v>
      </c>
      <c r="E5" s="28" t="s">
        <v>435</v>
      </c>
      <c r="F5" s="7" t="s">
        <v>436</v>
      </c>
    </row>
    <row r="6" customFormat="false" ht="32.8" hidden="false" customHeight="false" outlineLevel="0" collapsed="false">
      <c r="A6" s="29" t="s">
        <v>437</v>
      </c>
      <c r="B6" s="6" t="s">
        <v>438</v>
      </c>
      <c r="C6" s="22" t="s">
        <v>439</v>
      </c>
      <c r="D6" s="7" t="s">
        <v>440</v>
      </c>
      <c r="E6" s="28" t="s">
        <v>441</v>
      </c>
      <c r="F6" s="7" t="s">
        <v>442</v>
      </c>
    </row>
    <row r="7" customFormat="false" ht="43.25" hidden="false" customHeight="false" outlineLevel="0" collapsed="false">
      <c r="A7" s="30" t="s">
        <v>443</v>
      </c>
      <c r="B7" s="6" t="s">
        <v>444</v>
      </c>
      <c r="C7" s="22" t="s">
        <v>268</v>
      </c>
      <c r="D7" s="7" t="s">
        <v>445</v>
      </c>
      <c r="E7" s="28" t="s">
        <v>446</v>
      </c>
      <c r="F7" s="7" t="s">
        <v>447</v>
      </c>
    </row>
    <row r="8" customFormat="false" ht="32.8" hidden="false" customHeight="false" outlineLevel="0" collapsed="false">
      <c r="A8" s="29" t="s">
        <v>448</v>
      </c>
      <c r="B8" s="6" t="s">
        <v>449</v>
      </c>
      <c r="C8" s="22" t="s">
        <v>450</v>
      </c>
      <c r="D8" s="7" t="s">
        <v>246</v>
      </c>
      <c r="E8" s="28" t="s">
        <v>451</v>
      </c>
      <c r="F8" s="7" t="s">
        <v>452</v>
      </c>
    </row>
    <row r="9" customFormat="false" ht="43.25" hidden="false" customHeight="false" outlineLevel="0" collapsed="false">
      <c r="A9" s="29" t="s">
        <v>453</v>
      </c>
      <c r="B9" s="6" t="s">
        <v>454</v>
      </c>
      <c r="C9" s="22" t="s">
        <v>455</v>
      </c>
      <c r="D9" s="7" t="s">
        <v>456</v>
      </c>
      <c r="E9" s="28" t="s">
        <v>457</v>
      </c>
      <c r="F9" s="7" t="s">
        <v>458</v>
      </c>
    </row>
    <row r="11" customFormat="false" ht="15" hidden="false" customHeight="true" outlineLevel="0" collapsed="false">
      <c r="A11" s="31" t="s">
        <v>459</v>
      </c>
      <c r="B11" s="31"/>
      <c r="C11" s="31"/>
      <c r="D11" s="31"/>
      <c r="E11" s="31"/>
      <c r="F11" s="31"/>
    </row>
    <row r="12" customFormat="false" ht="15" hidden="false" customHeight="false" outlineLevel="0" collapsed="false">
      <c r="A12" s="31"/>
      <c r="B12" s="31"/>
      <c r="C12" s="31"/>
      <c r="D12" s="31"/>
      <c r="E12" s="31"/>
      <c r="F12" s="31"/>
    </row>
    <row r="13" customFormat="false" ht="15" hidden="false" customHeight="false" outlineLevel="0" collapsed="false">
      <c r="A13" s="31"/>
      <c r="B13" s="31"/>
      <c r="C13" s="31"/>
      <c r="D13" s="31"/>
      <c r="E13" s="31"/>
      <c r="F13" s="31"/>
    </row>
  </sheetData>
  <mergeCells count="3">
    <mergeCell ref="A1:F1"/>
    <mergeCell ref="A2:F2"/>
    <mergeCell ref="A11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460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461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4" t="s">
        <v>3</v>
      </c>
      <c r="B4" s="4" t="s">
        <v>462</v>
      </c>
      <c r="C4" s="4" t="s">
        <v>463</v>
      </c>
      <c r="D4" s="4" t="s">
        <v>464</v>
      </c>
      <c r="E4" s="4" t="s">
        <v>465</v>
      </c>
      <c r="F4" s="4" t="s">
        <v>324</v>
      </c>
    </row>
    <row r="5" customFormat="false" ht="22.35" hidden="false" customHeight="false" outlineLevel="0" collapsed="false">
      <c r="A5" s="19" t="n">
        <v>1</v>
      </c>
      <c r="B5" s="6" t="s">
        <v>466</v>
      </c>
      <c r="C5" s="32" t="n">
        <v>64710398</v>
      </c>
      <c r="D5" s="5" t="s">
        <v>467</v>
      </c>
      <c r="E5" s="7" t="s">
        <v>468</v>
      </c>
      <c r="F5" s="23" t="s">
        <v>49</v>
      </c>
    </row>
    <row r="6" customFormat="false" ht="22.35" hidden="false" customHeight="false" outlineLevel="0" collapsed="false">
      <c r="A6" s="19" t="n">
        <v>2</v>
      </c>
      <c r="B6" s="6" t="s">
        <v>469</v>
      </c>
      <c r="C6" s="32" t="n">
        <v>45600000</v>
      </c>
      <c r="D6" s="5" t="s">
        <v>470</v>
      </c>
      <c r="E6" s="7" t="s">
        <v>471</v>
      </c>
      <c r="F6" s="23" t="s">
        <v>49</v>
      </c>
    </row>
    <row r="7" customFormat="false" ht="22.35" hidden="false" customHeight="false" outlineLevel="0" collapsed="false">
      <c r="A7" s="19" t="n">
        <v>3</v>
      </c>
      <c r="B7" s="6" t="s">
        <v>472</v>
      </c>
      <c r="C7" s="32" t="n">
        <v>7540840</v>
      </c>
      <c r="D7" s="5" t="s">
        <v>473</v>
      </c>
      <c r="E7" s="7" t="s">
        <v>474</v>
      </c>
      <c r="F7" s="24" t="s">
        <v>51</v>
      </c>
    </row>
    <row r="8" customFormat="false" ht="22.35" hidden="false" customHeight="false" outlineLevel="0" collapsed="false">
      <c r="A8" s="19" t="n">
        <v>4</v>
      </c>
      <c r="B8" s="6" t="s">
        <v>475</v>
      </c>
      <c r="C8" s="32" t="n">
        <v>6000000</v>
      </c>
      <c r="D8" s="5" t="s">
        <v>476</v>
      </c>
      <c r="E8" s="7" t="s">
        <v>477</v>
      </c>
      <c r="F8" s="24" t="s">
        <v>51</v>
      </c>
    </row>
    <row r="9" customFormat="false" ht="22.35" hidden="false" customHeight="false" outlineLevel="0" collapsed="false">
      <c r="A9" s="19" t="n">
        <v>5</v>
      </c>
      <c r="B9" s="6" t="s">
        <v>478</v>
      </c>
      <c r="C9" s="32" t="n">
        <v>2141525</v>
      </c>
      <c r="D9" s="5" t="s">
        <v>479</v>
      </c>
      <c r="E9" s="7" t="s">
        <v>480</v>
      </c>
      <c r="F9" s="23" t="s">
        <v>49</v>
      </c>
    </row>
    <row r="10" customFormat="false" ht="22.35" hidden="false" customHeight="false" outlineLevel="0" collapsed="false">
      <c r="A10" s="19" t="n">
        <v>6</v>
      </c>
      <c r="B10" s="6" t="s">
        <v>481</v>
      </c>
      <c r="C10" s="32" t="n">
        <v>1800000</v>
      </c>
      <c r="D10" s="5" t="s">
        <v>482</v>
      </c>
      <c r="E10" s="7" t="s">
        <v>483</v>
      </c>
      <c r="F10" s="24" t="s">
        <v>51</v>
      </c>
    </row>
    <row r="11" customFormat="false" ht="22.35" hidden="false" customHeight="false" outlineLevel="0" collapsed="false">
      <c r="A11" s="19" t="n">
        <v>7</v>
      </c>
      <c r="B11" s="6" t="s">
        <v>484</v>
      </c>
      <c r="C11" s="32" t="n">
        <v>890670</v>
      </c>
      <c r="D11" s="5" t="s">
        <v>137</v>
      </c>
      <c r="E11" s="7" t="s">
        <v>485</v>
      </c>
      <c r="F11" s="24" t="s">
        <v>51</v>
      </c>
    </row>
    <row r="12" customFormat="false" ht="32.8" hidden="false" customHeight="false" outlineLevel="0" collapsed="false">
      <c r="A12" s="19" t="n">
        <v>8</v>
      </c>
      <c r="B12" s="6" t="s">
        <v>486</v>
      </c>
      <c r="C12" s="22" t="s">
        <v>487</v>
      </c>
      <c r="D12" s="5" t="s">
        <v>479</v>
      </c>
      <c r="E12" s="7" t="s">
        <v>488</v>
      </c>
      <c r="F12" s="23" t="s">
        <v>49</v>
      </c>
    </row>
    <row r="13" customFormat="false" ht="22.35" hidden="false" customHeight="false" outlineLevel="0" collapsed="false">
      <c r="A13" s="19" t="n">
        <v>9</v>
      </c>
      <c r="B13" s="6" t="s">
        <v>489</v>
      </c>
      <c r="C13" s="22" t="s">
        <v>490</v>
      </c>
      <c r="D13" s="5" t="s">
        <v>171</v>
      </c>
      <c r="E13" s="7" t="s">
        <v>491</v>
      </c>
      <c r="F13" s="23" t="s">
        <v>49</v>
      </c>
    </row>
    <row r="14" customFormat="false" ht="22.35" hidden="false" customHeight="false" outlineLevel="0" collapsed="false">
      <c r="A14" s="19" t="n">
        <v>10</v>
      </c>
      <c r="B14" s="6" t="s">
        <v>492</v>
      </c>
      <c r="C14" s="22" t="s">
        <v>493</v>
      </c>
      <c r="D14" s="5" t="s">
        <v>494</v>
      </c>
      <c r="E14" s="7" t="s">
        <v>495</v>
      </c>
      <c r="F14" s="24" t="s">
        <v>51</v>
      </c>
    </row>
    <row r="15" customFormat="false" ht="22.35" hidden="false" customHeight="false" outlineLevel="0" collapsed="false">
      <c r="B15" s="16" t="s">
        <v>496</v>
      </c>
      <c r="C15" s="33" t="n">
        <f aca="false">SUM(C5:C14)</f>
        <v>128683433</v>
      </c>
      <c r="D15" s="34" t="s">
        <v>497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498</v>
      </c>
      <c r="B1" s="1"/>
      <c r="C1" s="1"/>
      <c r="D1" s="1"/>
      <c r="E1" s="1"/>
    </row>
    <row r="2" customFormat="false" ht="30" hidden="false" customHeight="true" outlineLevel="0" collapsed="false">
      <c r="A2" s="2" t="s">
        <v>499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500</v>
      </c>
      <c r="B4" s="3"/>
      <c r="C4" s="3"/>
      <c r="D4" s="3"/>
      <c r="E4" s="3"/>
    </row>
    <row r="5" customFormat="false" ht="30" hidden="false" customHeight="true" outlineLevel="0" collapsed="false">
      <c r="A5" s="4" t="s">
        <v>3</v>
      </c>
      <c r="B5" s="4" t="s">
        <v>501</v>
      </c>
      <c r="C5" s="4" t="s">
        <v>324</v>
      </c>
      <c r="D5" s="4" t="s">
        <v>502</v>
      </c>
      <c r="E5" s="4" t="s">
        <v>503</v>
      </c>
    </row>
    <row r="6" customFormat="false" ht="22.35" hidden="false" customHeight="false" outlineLevel="0" collapsed="false">
      <c r="A6" s="19" t="n">
        <v>1</v>
      </c>
      <c r="B6" s="6" t="s">
        <v>504</v>
      </c>
      <c r="C6" s="23" t="s">
        <v>505</v>
      </c>
      <c r="D6" s="28" t="s">
        <v>506</v>
      </c>
      <c r="E6" s="5" t="s">
        <v>507</v>
      </c>
    </row>
    <row r="7" customFormat="false" ht="28.35" hidden="false" customHeight="false" outlineLevel="0" collapsed="false">
      <c r="A7" s="19" t="n">
        <v>2</v>
      </c>
      <c r="B7" s="6" t="s">
        <v>508</v>
      </c>
      <c r="C7" s="23" t="s">
        <v>505</v>
      </c>
      <c r="D7" s="28" t="s">
        <v>509</v>
      </c>
      <c r="E7" s="5" t="s">
        <v>510</v>
      </c>
    </row>
    <row r="8" customFormat="false" ht="22.35" hidden="false" customHeight="false" outlineLevel="0" collapsed="false">
      <c r="A8" s="19" t="n">
        <v>3</v>
      </c>
      <c r="B8" s="6" t="s">
        <v>511</v>
      </c>
      <c r="C8" s="23" t="s">
        <v>505</v>
      </c>
      <c r="D8" s="28" t="s">
        <v>512</v>
      </c>
      <c r="E8" s="5" t="s">
        <v>513</v>
      </c>
    </row>
    <row r="9" customFormat="false" ht="22.35" hidden="false" customHeight="false" outlineLevel="0" collapsed="false">
      <c r="A9" s="19" t="n">
        <v>4</v>
      </c>
      <c r="B9" s="6" t="s">
        <v>514</v>
      </c>
      <c r="C9" s="23" t="s">
        <v>505</v>
      </c>
      <c r="D9" s="28" t="s">
        <v>515</v>
      </c>
      <c r="E9" s="5" t="s">
        <v>516</v>
      </c>
    </row>
    <row r="10" customFormat="false" ht="22.35" hidden="false" customHeight="false" outlineLevel="0" collapsed="false">
      <c r="A10" s="19" t="n">
        <v>5</v>
      </c>
      <c r="B10" s="6" t="s">
        <v>517</v>
      </c>
      <c r="C10" s="23" t="s">
        <v>518</v>
      </c>
      <c r="D10" s="28" t="s">
        <v>519</v>
      </c>
      <c r="E10" s="5" t="s">
        <v>520</v>
      </c>
    </row>
    <row r="11" customFormat="false" ht="22.35" hidden="false" customHeight="false" outlineLevel="0" collapsed="false">
      <c r="A11" s="19" t="n">
        <v>6</v>
      </c>
      <c r="B11" s="6" t="s">
        <v>521</v>
      </c>
      <c r="C11" s="23" t="s">
        <v>505</v>
      </c>
      <c r="D11" s="28" t="s">
        <v>522</v>
      </c>
      <c r="E11" s="5" t="s">
        <v>523</v>
      </c>
    </row>
    <row r="12" customFormat="false" ht="22.35" hidden="false" customHeight="false" outlineLevel="0" collapsed="false">
      <c r="A12" s="19" t="n">
        <v>7</v>
      </c>
      <c r="B12" s="6" t="s">
        <v>524</v>
      </c>
      <c r="C12" s="23" t="s">
        <v>505</v>
      </c>
      <c r="D12" s="28" t="s">
        <v>525</v>
      </c>
      <c r="E12" s="5" t="s">
        <v>526</v>
      </c>
    </row>
    <row r="13" customFormat="false" ht="22.35" hidden="false" customHeight="false" outlineLevel="0" collapsed="false">
      <c r="A13" s="19" t="n">
        <v>8</v>
      </c>
      <c r="B13" s="6" t="s">
        <v>527</v>
      </c>
      <c r="C13" s="23" t="s">
        <v>505</v>
      </c>
      <c r="D13" s="28" t="s">
        <v>528</v>
      </c>
      <c r="E13" s="5" t="s">
        <v>529</v>
      </c>
    </row>
    <row r="15" customFormat="false" ht="19.5" hidden="false" customHeight="true" outlineLevel="0" collapsed="false">
      <c r="A15" s="3" t="s">
        <v>530</v>
      </c>
      <c r="B15" s="3"/>
      <c r="C15" s="3"/>
      <c r="D15" s="3"/>
      <c r="E15" s="3"/>
    </row>
    <row r="16" customFormat="false" ht="30" hidden="false" customHeight="true" outlineLevel="0" collapsed="false">
      <c r="A16" s="4" t="s">
        <v>3</v>
      </c>
      <c r="B16" s="4" t="s">
        <v>531</v>
      </c>
      <c r="C16" s="4" t="s">
        <v>532</v>
      </c>
      <c r="D16" s="4" t="s">
        <v>533</v>
      </c>
      <c r="E16" s="4" t="s">
        <v>534</v>
      </c>
    </row>
    <row r="17" customFormat="false" ht="22.35" hidden="false" customHeight="false" outlineLevel="0" collapsed="false">
      <c r="A17" s="19" t="n">
        <v>1</v>
      </c>
      <c r="B17" s="6" t="s">
        <v>535</v>
      </c>
      <c r="C17" s="23" t="s">
        <v>536</v>
      </c>
      <c r="D17" s="28" t="s">
        <v>537</v>
      </c>
      <c r="E17" s="5" t="s">
        <v>538</v>
      </c>
    </row>
    <row r="18" customFormat="false" ht="22.35" hidden="false" customHeight="false" outlineLevel="0" collapsed="false">
      <c r="A18" s="19" t="n">
        <v>2</v>
      </c>
      <c r="B18" s="6" t="s">
        <v>539</v>
      </c>
      <c r="C18" s="23" t="s">
        <v>540</v>
      </c>
      <c r="D18" s="28" t="s">
        <v>541</v>
      </c>
      <c r="E18" s="5" t="s">
        <v>542</v>
      </c>
    </row>
    <row r="19" customFormat="false" ht="32.8" hidden="false" customHeight="false" outlineLevel="0" collapsed="false">
      <c r="A19" s="19" t="n">
        <v>3</v>
      </c>
      <c r="B19" s="6" t="s">
        <v>543</v>
      </c>
      <c r="C19" s="23" t="s">
        <v>540</v>
      </c>
      <c r="D19" s="28" t="s">
        <v>544</v>
      </c>
      <c r="E19" s="5" t="s">
        <v>545</v>
      </c>
    </row>
    <row r="20" customFormat="false" ht="43.25" hidden="false" customHeight="false" outlineLevel="0" collapsed="false">
      <c r="A20" s="19" t="n">
        <v>4</v>
      </c>
      <c r="B20" s="6" t="s">
        <v>546</v>
      </c>
      <c r="C20" s="23" t="s">
        <v>536</v>
      </c>
      <c r="D20" s="28" t="s">
        <v>547</v>
      </c>
      <c r="E20" s="5" t="s">
        <v>548</v>
      </c>
    </row>
    <row r="21" customFormat="false" ht="32.8" hidden="false" customHeight="false" outlineLevel="0" collapsed="false">
      <c r="A21" s="19" t="n">
        <v>5</v>
      </c>
      <c r="B21" s="6" t="s">
        <v>549</v>
      </c>
      <c r="C21" s="23" t="s">
        <v>536</v>
      </c>
      <c r="D21" s="28" t="s">
        <v>550</v>
      </c>
      <c r="E21" s="5" t="s">
        <v>551</v>
      </c>
    </row>
  </sheetData>
  <mergeCells count="4">
    <mergeCell ref="A1:E1"/>
    <mergeCell ref="A2:E2"/>
    <mergeCell ref="A4:E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4"/>
  </cols>
  <sheetData>
    <row r="1" customFormat="false" ht="25.5" hidden="false" customHeight="true" outlineLevel="0" collapsed="false">
      <c r="A1" s="1" t="s">
        <v>552</v>
      </c>
      <c r="B1" s="1"/>
      <c r="C1" s="1"/>
    </row>
    <row r="2" customFormat="false" ht="30" hidden="false" customHeight="true" outlineLevel="0" collapsed="false">
      <c r="A2" s="2" t="s">
        <v>553</v>
      </c>
      <c r="B2" s="2"/>
      <c r="C2" s="2"/>
    </row>
    <row r="4" customFormat="false" ht="19.5" hidden="false" customHeight="true" outlineLevel="0" collapsed="false">
      <c r="A4" s="3" t="s">
        <v>554</v>
      </c>
      <c r="B4" s="3"/>
      <c r="C4" s="3"/>
    </row>
    <row r="5" customFormat="false" ht="30" hidden="false" customHeight="true" outlineLevel="0" collapsed="false">
      <c r="A5" s="4" t="s">
        <v>3</v>
      </c>
      <c r="B5" s="4" t="s">
        <v>555</v>
      </c>
      <c r="C5" s="4" t="s">
        <v>556</v>
      </c>
    </row>
    <row r="6" customFormat="false" ht="32.8" hidden="false" customHeight="false" outlineLevel="0" collapsed="false">
      <c r="A6" s="5" t="n">
        <v>1</v>
      </c>
      <c r="B6" s="6" t="s">
        <v>557</v>
      </c>
      <c r="C6" s="7" t="s">
        <v>558</v>
      </c>
    </row>
    <row r="7" customFormat="false" ht="32.8" hidden="false" customHeight="false" outlineLevel="0" collapsed="false">
      <c r="A7" s="5" t="n">
        <v>2</v>
      </c>
      <c r="B7" s="6" t="s">
        <v>559</v>
      </c>
      <c r="C7" s="7" t="s">
        <v>560</v>
      </c>
    </row>
    <row r="8" customFormat="false" ht="32.8" hidden="false" customHeight="false" outlineLevel="0" collapsed="false">
      <c r="A8" s="5" t="n">
        <v>3</v>
      </c>
      <c r="B8" s="6" t="s">
        <v>561</v>
      </c>
      <c r="C8" s="7" t="s">
        <v>562</v>
      </c>
    </row>
    <row r="9" customFormat="false" ht="32.8" hidden="false" customHeight="false" outlineLevel="0" collapsed="false">
      <c r="A9" s="5" t="n">
        <v>4</v>
      </c>
      <c r="B9" s="6" t="s">
        <v>563</v>
      </c>
      <c r="C9" s="7" t="s">
        <v>564</v>
      </c>
    </row>
    <row r="10" customFormat="false" ht="22.35" hidden="false" customHeight="false" outlineLevel="0" collapsed="false">
      <c r="A10" s="5" t="n">
        <v>5</v>
      </c>
      <c r="B10" s="6" t="s">
        <v>565</v>
      </c>
      <c r="C10" s="7" t="s">
        <v>566</v>
      </c>
    </row>
    <row r="11" customFormat="false" ht="32.8" hidden="false" customHeight="false" outlineLevel="0" collapsed="false">
      <c r="A11" s="5" t="n">
        <v>6</v>
      </c>
      <c r="B11" s="6" t="s">
        <v>567</v>
      </c>
      <c r="C11" s="7" t="s">
        <v>568</v>
      </c>
    </row>
    <row r="12" customFormat="false" ht="22.35" hidden="false" customHeight="false" outlineLevel="0" collapsed="false">
      <c r="A12" s="5" t="n">
        <v>7</v>
      </c>
      <c r="B12" s="6" t="s">
        <v>569</v>
      </c>
      <c r="C12" s="7" t="s">
        <v>570</v>
      </c>
    </row>
    <row r="13" customFormat="false" ht="22.35" hidden="false" customHeight="false" outlineLevel="0" collapsed="false">
      <c r="A13" s="5" t="n">
        <v>8</v>
      </c>
      <c r="B13" s="6" t="s">
        <v>571</v>
      </c>
      <c r="C13" s="7" t="s">
        <v>572</v>
      </c>
    </row>
    <row r="15" customFormat="false" ht="19.5" hidden="false" customHeight="true" outlineLevel="0" collapsed="false">
      <c r="A15" s="3" t="s">
        <v>573</v>
      </c>
      <c r="B15" s="3"/>
      <c r="C15" s="3"/>
    </row>
    <row r="16" customFormat="false" ht="30" hidden="false" customHeight="true" outlineLevel="0" collapsed="false">
      <c r="A16" s="4" t="s">
        <v>3</v>
      </c>
      <c r="B16" s="4" t="s">
        <v>4</v>
      </c>
      <c r="C16" s="4" t="s">
        <v>574</v>
      </c>
    </row>
    <row r="17" customFormat="false" ht="22.35" hidden="false" customHeight="false" outlineLevel="0" collapsed="false">
      <c r="A17" s="5" t="n">
        <v>1</v>
      </c>
      <c r="B17" s="6" t="s">
        <v>575</v>
      </c>
      <c r="C17" s="15" t="s">
        <v>576</v>
      </c>
    </row>
    <row r="18" customFormat="false" ht="22.35" hidden="false" customHeight="false" outlineLevel="0" collapsed="false">
      <c r="A18" s="5" t="n">
        <v>2</v>
      </c>
      <c r="B18" s="6" t="s">
        <v>577</v>
      </c>
      <c r="C18" s="15" t="s">
        <v>578</v>
      </c>
    </row>
    <row r="19" customFormat="false" ht="22.35" hidden="false" customHeight="false" outlineLevel="0" collapsed="false">
      <c r="A19" s="5" t="n">
        <v>3</v>
      </c>
      <c r="B19" s="6" t="s">
        <v>579</v>
      </c>
      <c r="C19" s="15" t="s">
        <v>580</v>
      </c>
    </row>
    <row r="20" customFormat="false" ht="22.35" hidden="false" customHeight="false" outlineLevel="0" collapsed="false">
      <c r="A20" s="5" t="n">
        <v>4</v>
      </c>
      <c r="B20" s="6" t="s">
        <v>581</v>
      </c>
      <c r="C20" s="7" t="s">
        <v>582</v>
      </c>
    </row>
    <row r="21" customFormat="false" ht="22.35" hidden="false" customHeight="false" outlineLevel="0" collapsed="false">
      <c r="A21" s="5" t="n">
        <v>5</v>
      </c>
      <c r="B21" s="6" t="s">
        <v>583</v>
      </c>
      <c r="C21" s="7" t="s">
        <v>584</v>
      </c>
    </row>
    <row r="22" customFormat="false" ht="15" hidden="false" customHeight="false" outlineLevel="0" collapsed="false">
      <c r="A22" s="5" t="n">
        <v>6</v>
      </c>
      <c r="B22" s="6" t="s">
        <v>585</v>
      </c>
      <c r="C22" s="7" t="s">
        <v>586</v>
      </c>
    </row>
    <row r="23" customFormat="false" ht="22.35" hidden="false" customHeight="false" outlineLevel="0" collapsed="false">
      <c r="A23" s="5" t="n">
        <v>7</v>
      </c>
      <c r="B23" s="6" t="s">
        <v>587</v>
      </c>
      <c r="C23" s="7" t="s">
        <v>588</v>
      </c>
    </row>
  </sheetData>
  <mergeCells count="4">
    <mergeCell ref="A1:C1"/>
    <mergeCell ref="A2:C2"/>
    <mergeCell ref="A4:C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589</v>
      </c>
      <c r="B1" s="1"/>
      <c r="C1" s="1"/>
      <c r="D1" s="1"/>
      <c r="E1" s="1"/>
    </row>
    <row r="2" customFormat="false" ht="30" hidden="false" customHeight="true" outlineLevel="0" collapsed="false">
      <c r="A2" s="2" t="s">
        <v>590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591</v>
      </c>
      <c r="B4" s="3"/>
      <c r="C4" s="3"/>
      <c r="D4" s="3"/>
      <c r="E4" s="3"/>
    </row>
    <row r="5" customFormat="false" ht="30" hidden="false" customHeight="true" outlineLevel="0" collapsed="false">
      <c r="A5" s="4" t="s">
        <v>592</v>
      </c>
      <c r="B5" s="4" t="s">
        <v>593</v>
      </c>
      <c r="C5" s="4" t="s">
        <v>594</v>
      </c>
      <c r="D5" s="4" t="s">
        <v>595</v>
      </c>
      <c r="E5" s="4" t="s">
        <v>596</v>
      </c>
    </row>
    <row r="6" customFormat="false" ht="43.25" hidden="false" customHeight="false" outlineLevel="0" collapsed="false">
      <c r="A6" s="35" t="s">
        <v>597</v>
      </c>
      <c r="B6" s="7" t="s">
        <v>598</v>
      </c>
      <c r="C6" s="32" t="n">
        <v>5053838</v>
      </c>
      <c r="D6" s="36" t="n">
        <v>0.0486</v>
      </c>
      <c r="E6" s="28" t="s">
        <v>599</v>
      </c>
    </row>
    <row r="7" customFormat="false" ht="32.8" hidden="false" customHeight="false" outlineLevel="0" collapsed="false">
      <c r="A7" s="37" t="s">
        <v>600</v>
      </c>
      <c r="B7" s="7" t="s">
        <v>601</v>
      </c>
      <c r="C7" s="32" t="n">
        <v>5674965</v>
      </c>
      <c r="D7" s="36" t="n">
        <v>0.1441</v>
      </c>
      <c r="E7" s="28" t="s">
        <v>602</v>
      </c>
    </row>
    <row r="8" customFormat="false" ht="32.8" hidden="false" customHeight="false" outlineLevel="0" collapsed="false">
      <c r="A8" s="38" t="s">
        <v>603</v>
      </c>
      <c r="B8" s="7" t="s">
        <v>604</v>
      </c>
      <c r="C8" s="32" t="n">
        <v>-5325035</v>
      </c>
      <c r="D8" s="36" t="n">
        <v>-0.1352</v>
      </c>
      <c r="E8" s="28" t="s">
        <v>605</v>
      </c>
    </row>
    <row r="10" customFormat="false" ht="19.5" hidden="false" customHeight="true" outlineLevel="0" collapsed="false">
      <c r="A10" s="3" t="s">
        <v>606</v>
      </c>
      <c r="B10" s="3"/>
      <c r="C10" s="3"/>
      <c r="D10" s="3"/>
      <c r="E10" s="3"/>
    </row>
    <row r="11" customFormat="false" ht="30" hidden="false" customHeight="true" outlineLevel="0" collapsed="false">
      <c r="A11" s="4" t="s">
        <v>607</v>
      </c>
      <c r="B11" s="4" t="s">
        <v>608</v>
      </c>
      <c r="C11" s="4" t="s">
        <v>609</v>
      </c>
      <c r="D11" s="4" t="s">
        <v>610</v>
      </c>
      <c r="E11" s="4" t="s">
        <v>611</v>
      </c>
    </row>
    <row r="12" customFormat="false" ht="22.35" hidden="false" customHeight="false" outlineLevel="0" collapsed="false">
      <c r="A12" s="6" t="s">
        <v>612</v>
      </c>
      <c r="B12" s="32" t="n">
        <v>40163148</v>
      </c>
      <c r="C12" s="32" t="n">
        <v>40163148</v>
      </c>
      <c r="D12" s="32" t="n">
        <v>40163148</v>
      </c>
      <c r="E12" s="28" t="s">
        <v>613</v>
      </c>
    </row>
    <row r="13" customFormat="false" ht="32.8" hidden="false" customHeight="false" outlineLevel="0" collapsed="false">
      <c r="A13" s="6" t="s">
        <v>614</v>
      </c>
      <c r="B13" s="32" t="n">
        <v>37370325</v>
      </c>
      <c r="C13" s="32" t="n">
        <v>40418858</v>
      </c>
      <c r="D13" s="32" t="n">
        <v>51113620</v>
      </c>
      <c r="E13" s="28" t="s">
        <v>615</v>
      </c>
    </row>
    <row r="14" customFormat="false" ht="19.4" hidden="false" customHeight="false" outlineLevel="0" collapsed="false">
      <c r="A14" s="16" t="s">
        <v>616</v>
      </c>
      <c r="B14" s="39" t="n">
        <f aca="false">B12-B13</f>
        <v>2792823</v>
      </c>
      <c r="C14" s="39" t="n">
        <f aca="false">C12-C13</f>
        <v>-255710</v>
      </c>
      <c r="D14" s="39" t="n">
        <f aca="false">D12-D13</f>
        <v>-10950472</v>
      </c>
      <c r="E14" s="40" t="s">
        <v>617</v>
      </c>
    </row>
    <row r="15" customFormat="false" ht="22.35" hidden="false" customHeight="false" outlineLevel="0" collapsed="false">
      <c r="A15" s="16" t="s">
        <v>618</v>
      </c>
      <c r="B15" s="41" t="n">
        <f aca="false">B14/B12</f>
        <v>0.0695369546231784</v>
      </c>
      <c r="C15" s="41" t="n">
        <f aca="false">C14/C12</f>
        <v>-0.00636678180704361</v>
      </c>
      <c r="D15" s="41" t="n">
        <f aca="false">D14/D12</f>
        <v>-0.272649743491222</v>
      </c>
      <c r="E15" s="17"/>
    </row>
    <row r="17" customFormat="false" ht="19.5" hidden="false" customHeight="true" outlineLevel="0" collapsed="false">
      <c r="A17" s="3" t="s">
        <v>619</v>
      </c>
      <c r="B17" s="3"/>
      <c r="C17" s="3"/>
      <c r="D17" s="3"/>
      <c r="E17" s="3"/>
    </row>
    <row r="18" customFormat="false" ht="15" hidden="false" customHeight="true" outlineLevel="0" collapsed="false">
      <c r="A18" s="42" t="s">
        <v>620</v>
      </c>
      <c r="B18" s="42"/>
      <c r="C18" s="42"/>
      <c r="D18" s="42"/>
      <c r="E18" s="42"/>
    </row>
    <row r="19" customFormat="false" ht="15" hidden="false" customHeight="false" outlineLevel="0" collapsed="false">
      <c r="A19" s="42"/>
      <c r="B19" s="42"/>
      <c r="C19" s="42"/>
      <c r="D19" s="42"/>
      <c r="E19" s="42"/>
    </row>
    <row r="20" customFormat="false" ht="15" hidden="false" customHeight="false" outlineLevel="0" collapsed="false">
      <c r="A20" s="42"/>
      <c r="B20" s="42"/>
      <c r="C20" s="42"/>
      <c r="D20" s="42"/>
      <c r="E20" s="42"/>
    </row>
    <row r="21" customFormat="false" ht="15" hidden="false" customHeight="false" outlineLevel="0" collapsed="false">
      <c r="A21" s="42"/>
      <c r="B21" s="42"/>
      <c r="C21" s="42"/>
      <c r="D21" s="42"/>
      <c r="E21" s="42"/>
    </row>
  </sheetData>
  <mergeCells count="6">
    <mergeCell ref="A1:E1"/>
    <mergeCell ref="A2:E2"/>
    <mergeCell ref="A4:E4"/>
    <mergeCell ref="A10:E10"/>
    <mergeCell ref="A17:E17"/>
    <mergeCell ref="A18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621</v>
      </c>
      <c r="B1" s="1"/>
      <c r="C1" s="1"/>
      <c r="D1" s="1"/>
      <c r="E1" s="1"/>
    </row>
    <row r="2" customFormat="false" ht="30" hidden="false" customHeight="true" outlineLevel="0" collapsed="false">
      <c r="A2" s="2" t="s">
        <v>622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623</v>
      </c>
      <c r="B4" s="3"/>
      <c r="C4" s="3"/>
      <c r="D4" s="3"/>
      <c r="E4" s="3"/>
    </row>
    <row r="5" customFormat="false" ht="30" hidden="false" customHeight="true" outlineLevel="0" collapsed="false">
      <c r="A5" s="4" t="s">
        <v>624</v>
      </c>
      <c r="B5" s="4" t="s">
        <v>625</v>
      </c>
      <c r="C5" s="4" t="s">
        <v>626</v>
      </c>
      <c r="D5" s="4" t="s">
        <v>627</v>
      </c>
      <c r="E5" s="4" t="s">
        <v>628</v>
      </c>
    </row>
    <row r="6" customFormat="false" ht="32.8" hidden="false" customHeight="false" outlineLevel="0" collapsed="false">
      <c r="A6" s="6" t="s">
        <v>629</v>
      </c>
      <c r="B6" s="5" t="s">
        <v>313</v>
      </c>
      <c r="C6" s="7" t="s">
        <v>630</v>
      </c>
      <c r="D6" s="7" t="s">
        <v>631</v>
      </c>
      <c r="E6" s="5" t="s">
        <v>632</v>
      </c>
    </row>
    <row r="7" customFormat="false" ht="32.8" hidden="false" customHeight="false" outlineLevel="0" collapsed="false">
      <c r="A7" s="6" t="s">
        <v>633</v>
      </c>
      <c r="B7" s="5" t="s">
        <v>634</v>
      </c>
      <c r="C7" s="7" t="s">
        <v>635</v>
      </c>
      <c r="D7" s="7" t="s">
        <v>636</v>
      </c>
      <c r="E7" s="5" t="s">
        <v>637</v>
      </c>
    </row>
    <row r="8" customFormat="false" ht="43.25" hidden="false" customHeight="false" outlineLevel="0" collapsed="false">
      <c r="A8" s="6" t="s">
        <v>638</v>
      </c>
      <c r="B8" s="5" t="s">
        <v>639</v>
      </c>
      <c r="C8" s="7" t="s">
        <v>640</v>
      </c>
      <c r="D8" s="7" t="s">
        <v>641</v>
      </c>
      <c r="E8" s="5" t="s">
        <v>642</v>
      </c>
    </row>
    <row r="9" customFormat="false" ht="43.25" hidden="false" customHeight="false" outlineLevel="0" collapsed="false">
      <c r="A9" s="6" t="s">
        <v>643</v>
      </c>
      <c r="B9" s="5" t="s">
        <v>644</v>
      </c>
      <c r="C9" s="7" t="s">
        <v>645</v>
      </c>
      <c r="D9" s="7" t="s">
        <v>646</v>
      </c>
      <c r="E9" s="5" t="s">
        <v>642</v>
      </c>
    </row>
    <row r="10" customFormat="false" ht="43.25" hidden="false" customHeight="false" outlineLevel="0" collapsed="false">
      <c r="A10" s="6" t="s">
        <v>647</v>
      </c>
      <c r="B10" s="5" t="s">
        <v>648</v>
      </c>
      <c r="C10" s="7" t="s">
        <v>649</v>
      </c>
      <c r="D10" s="7" t="s">
        <v>650</v>
      </c>
      <c r="E10" s="5" t="s">
        <v>642</v>
      </c>
    </row>
    <row r="12" customFormat="false" ht="19.5" hidden="false" customHeight="true" outlineLevel="0" collapsed="false">
      <c r="A12" s="3" t="s">
        <v>651</v>
      </c>
      <c r="B12" s="3"/>
      <c r="C12" s="3"/>
      <c r="D12" s="3"/>
      <c r="E12" s="3"/>
    </row>
    <row r="13" customFormat="false" ht="30" hidden="false" customHeight="true" outlineLevel="0" collapsed="false">
      <c r="A13" s="4" t="s">
        <v>652</v>
      </c>
      <c r="B13" s="4" t="s">
        <v>324</v>
      </c>
      <c r="C13" s="4" t="s">
        <v>653</v>
      </c>
      <c r="D13" s="4" t="s">
        <v>654</v>
      </c>
      <c r="E13" s="4" t="s">
        <v>186</v>
      </c>
    </row>
    <row r="14" customFormat="false" ht="22.35" hidden="false" customHeight="false" outlineLevel="0" collapsed="false">
      <c r="A14" s="6" t="s">
        <v>655</v>
      </c>
      <c r="B14" s="24" t="s">
        <v>656</v>
      </c>
      <c r="C14" s="7" t="s">
        <v>657</v>
      </c>
      <c r="D14" s="7" t="s">
        <v>658</v>
      </c>
    </row>
    <row r="15" customFormat="false" ht="22.35" hidden="false" customHeight="false" outlineLevel="0" collapsed="false">
      <c r="A15" s="6" t="s">
        <v>330</v>
      </c>
      <c r="B15" s="25" t="s">
        <v>659</v>
      </c>
      <c r="C15" s="7" t="s">
        <v>660</v>
      </c>
      <c r="D15" s="7" t="s">
        <v>661</v>
      </c>
    </row>
    <row r="16" customFormat="false" ht="15" hidden="false" customHeight="false" outlineLevel="0" collapsed="false">
      <c r="A16" s="6" t="s">
        <v>662</v>
      </c>
      <c r="B16" s="25" t="s">
        <v>659</v>
      </c>
      <c r="C16" s="7" t="s">
        <v>663</v>
      </c>
      <c r="D16" s="7" t="s">
        <v>664</v>
      </c>
    </row>
    <row r="17" customFormat="false" ht="22.35" hidden="false" customHeight="false" outlineLevel="0" collapsed="false">
      <c r="A17" s="6" t="s">
        <v>345</v>
      </c>
      <c r="B17" s="24" t="s">
        <v>656</v>
      </c>
      <c r="C17" s="7" t="s">
        <v>347</v>
      </c>
      <c r="D17" s="7" t="s">
        <v>665</v>
      </c>
    </row>
    <row r="18" customFormat="false" ht="22.35" hidden="false" customHeight="false" outlineLevel="0" collapsed="false">
      <c r="A18" s="6" t="s">
        <v>348</v>
      </c>
      <c r="B18" s="24" t="s">
        <v>656</v>
      </c>
      <c r="C18" s="7" t="s">
        <v>350</v>
      </c>
      <c r="D18" s="7" t="s">
        <v>666</v>
      </c>
    </row>
    <row r="19" customFormat="false" ht="15" hidden="false" customHeight="false" outlineLevel="0" collapsed="false">
      <c r="A19" s="6" t="s">
        <v>336</v>
      </c>
      <c r="B19" s="23" t="s">
        <v>667</v>
      </c>
      <c r="C19" s="7" t="s">
        <v>668</v>
      </c>
      <c r="D19" s="7" t="s">
        <v>669</v>
      </c>
    </row>
    <row r="20" customFormat="false" ht="15" hidden="false" customHeight="false" outlineLevel="0" collapsed="false">
      <c r="A20" s="6" t="s">
        <v>339</v>
      </c>
      <c r="B20" s="23" t="s">
        <v>667</v>
      </c>
      <c r="C20" s="7" t="s">
        <v>670</v>
      </c>
      <c r="D20" s="7" t="s">
        <v>671</v>
      </c>
    </row>
    <row r="21" customFormat="false" ht="22.35" hidden="false" customHeight="false" outlineLevel="0" collapsed="false">
      <c r="A21" s="6" t="s">
        <v>342</v>
      </c>
      <c r="B21" s="24" t="s">
        <v>656</v>
      </c>
      <c r="C21" s="7" t="s">
        <v>672</v>
      </c>
      <c r="D21" s="7" t="s">
        <v>673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26"/>
  </cols>
  <sheetData>
    <row r="1" customFormat="false" ht="25.5" hidden="false" customHeight="true" outlineLevel="0" collapsed="false">
      <c r="A1" s="1" t="s">
        <v>674</v>
      </c>
      <c r="B1" s="1"/>
      <c r="C1" s="1"/>
      <c r="D1" s="1"/>
    </row>
    <row r="2" customFormat="false" ht="30" hidden="false" customHeight="true" outlineLevel="0" collapsed="false">
      <c r="A2" s="2" t="s">
        <v>675</v>
      </c>
      <c r="B2" s="2"/>
      <c r="C2" s="2"/>
      <c r="D2" s="2"/>
    </row>
    <row r="4" customFormat="false" ht="30" hidden="false" customHeight="true" outlineLevel="0" collapsed="false">
      <c r="A4" s="4" t="s">
        <v>652</v>
      </c>
      <c r="B4" s="4" t="s">
        <v>676</v>
      </c>
      <c r="C4" s="4" t="s">
        <v>677</v>
      </c>
      <c r="D4" s="4" t="s">
        <v>678</v>
      </c>
    </row>
    <row r="5" customFormat="false" ht="22.35" hidden="false" customHeight="false" outlineLevel="0" collapsed="false">
      <c r="A5" s="6" t="s">
        <v>326</v>
      </c>
      <c r="B5" s="7" t="s">
        <v>679</v>
      </c>
      <c r="C5" s="7" t="s">
        <v>680</v>
      </c>
      <c r="D5" s="7" t="s">
        <v>681</v>
      </c>
    </row>
    <row r="6" customFormat="false" ht="43.25" hidden="false" customHeight="false" outlineLevel="0" collapsed="false">
      <c r="A6" s="6" t="s">
        <v>330</v>
      </c>
      <c r="B6" s="7" t="s">
        <v>81</v>
      </c>
      <c r="C6" s="7" t="s">
        <v>682</v>
      </c>
      <c r="D6" s="7" t="s">
        <v>683</v>
      </c>
    </row>
    <row r="7" customFormat="false" ht="22.35" hidden="false" customHeight="false" outlineLevel="0" collapsed="false">
      <c r="A7" s="6" t="s">
        <v>662</v>
      </c>
      <c r="B7" s="7" t="s">
        <v>136</v>
      </c>
      <c r="C7" s="7" t="s">
        <v>684</v>
      </c>
      <c r="D7" s="7" t="s">
        <v>685</v>
      </c>
    </row>
    <row r="8" customFormat="false" ht="43.25" hidden="false" customHeight="false" outlineLevel="0" collapsed="false">
      <c r="A8" s="6" t="s">
        <v>345</v>
      </c>
      <c r="B8" s="7" t="s">
        <v>686</v>
      </c>
      <c r="C8" s="7" t="s">
        <v>687</v>
      </c>
      <c r="D8" s="7" t="s">
        <v>688</v>
      </c>
    </row>
    <row r="9" customFormat="false" ht="32.8" hidden="false" customHeight="false" outlineLevel="0" collapsed="false">
      <c r="A9" s="6" t="s">
        <v>348</v>
      </c>
      <c r="B9" s="7" t="s">
        <v>689</v>
      </c>
      <c r="C9" s="7" t="s">
        <v>690</v>
      </c>
      <c r="D9" s="7" t="s">
        <v>691</v>
      </c>
    </row>
    <row r="10" customFormat="false" ht="32.8" hidden="false" customHeight="false" outlineLevel="0" collapsed="false">
      <c r="A10" s="6" t="s">
        <v>336</v>
      </c>
      <c r="B10" s="7" t="s">
        <v>692</v>
      </c>
      <c r="C10" s="7" t="s">
        <v>693</v>
      </c>
      <c r="D10" s="7" t="s">
        <v>694</v>
      </c>
    </row>
    <row r="11" customFormat="false" ht="32.8" hidden="false" customHeight="false" outlineLevel="0" collapsed="false">
      <c r="A11" s="6" t="s">
        <v>339</v>
      </c>
      <c r="B11" s="7" t="s">
        <v>246</v>
      </c>
      <c r="C11" s="7" t="s">
        <v>695</v>
      </c>
      <c r="D11" s="7" t="s">
        <v>696</v>
      </c>
    </row>
    <row r="12" customFormat="false" ht="32.8" hidden="false" customHeight="false" outlineLevel="0" collapsed="false">
      <c r="A12" s="6" t="s">
        <v>342</v>
      </c>
      <c r="B12" s="7" t="s">
        <v>697</v>
      </c>
      <c r="C12" s="7" t="s">
        <v>698</v>
      </c>
      <c r="D12" s="7" t="s">
        <v>699</v>
      </c>
    </row>
    <row r="13" customFormat="false" ht="22.35" hidden="false" customHeight="false" outlineLevel="0" collapsed="false">
      <c r="A13" s="6" t="s">
        <v>365</v>
      </c>
      <c r="B13" s="7" t="s">
        <v>700</v>
      </c>
      <c r="C13" s="7" t="s">
        <v>701</v>
      </c>
      <c r="D13" s="7" t="s">
        <v>702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25.5" hidden="false" customHeight="true" outlineLevel="0" collapsed="false">
      <c r="A1" s="1" t="s">
        <v>703</v>
      </c>
      <c r="B1" s="1"/>
      <c r="C1" s="1"/>
      <c r="D1" s="1"/>
    </row>
    <row r="2" customFormat="false" ht="30" hidden="false" customHeight="true" outlineLevel="0" collapsed="false">
      <c r="A2" s="2" t="s">
        <v>704</v>
      </c>
      <c r="B2" s="2"/>
      <c r="C2" s="2"/>
      <c r="D2" s="2"/>
    </row>
    <row r="4" customFormat="false" ht="19.5" hidden="false" customHeight="true" outlineLevel="0" collapsed="false">
      <c r="A4" s="3" t="s">
        <v>705</v>
      </c>
      <c r="B4" s="3"/>
      <c r="C4" s="3"/>
      <c r="D4" s="3"/>
    </row>
    <row r="5" customFormat="false" ht="30" hidden="false" customHeight="true" outlineLevel="0" collapsed="false">
      <c r="A5" s="4" t="s">
        <v>706</v>
      </c>
      <c r="B5" s="4" t="s">
        <v>707</v>
      </c>
      <c r="C5" s="4" t="s">
        <v>708</v>
      </c>
      <c r="D5" s="4" t="s">
        <v>709</v>
      </c>
    </row>
    <row r="6" customFormat="false" ht="64.15" hidden="false" customHeight="false" outlineLevel="0" collapsed="false">
      <c r="A6" s="21" t="s">
        <v>710</v>
      </c>
      <c r="B6" s="35" t="s">
        <v>711</v>
      </c>
      <c r="C6" s="38" t="s">
        <v>712</v>
      </c>
      <c r="D6" s="21" t="s">
        <v>713</v>
      </c>
    </row>
    <row r="8" customFormat="false" ht="19.5" hidden="false" customHeight="true" outlineLevel="0" collapsed="false">
      <c r="A8" s="3" t="s">
        <v>714</v>
      </c>
      <c r="B8" s="3"/>
      <c r="C8" s="3"/>
      <c r="D8" s="3"/>
    </row>
    <row r="9" customFormat="false" ht="30" hidden="false" customHeight="true" outlineLevel="0" collapsed="false">
      <c r="A9" s="4" t="s">
        <v>715</v>
      </c>
      <c r="B9" s="4" t="s">
        <v>716</v>
      </c>
      <c r="C9" s="4" t="s">
        <v>717</v>
      </c>
      <c r="D9" s="4" t="s">
        <v>718</v>
      </c>
    </row>
    <row r="10" customFormat="false" ht="158.2" hidden="false" customHeight="false" outlineLevel="0" collapsed="false">
      <c r="A10" s="5" t="s">
        <v>719</v>
      </c>
      <c r="B10" s="5" t="s">
        <v>720</v>
      </c>
      <c r="C10" s="5" t="s">
        <v>721</v>
      </c>
      <c r="D10" s="5" t="s">
        <v>722</v>
      </c>
    </row>
    <row r="12" customFormat="false" ht="19.5" hidden="false" customHeight="true" outlineLevel="0" collapsed="false">
      <c r="A12" s="3" t="s">
        <v>723</v>
      </c>
      <c r="B12" s="3"/>
      <c r="C12" s="3"/>
      <c r="D12" s="3"/>
    </row>
    <row r="13" customFormat="false" ht="30" hidden="false" customHeight="true" outlineLevel="0" collapsed="false">
      <c r="A13" s="4" t="s">
        <v>3</v>
      </c>
      <c r="B13" s="4" t="s">
        <v>462</v>
      </c>
      <c r="C13" s="4" t="s">
        <v>724</v>
      </c>
      <c r="D13" s="4" t="s">
        <v>725</v>
      </c>
    </row>
    <row r="14" customFormat="false" ht="95.5" hidden="false" customHeight="false" outlineLevel="0" collapsed="false">
      <c r="A14" s="5" t="n">
        <v>1</v>
      </c>
      <c r="B14" s="6" t="s">
        <v>726</v>
      </c>
      <c r="C14" s="43" t="s">
        <v>727</v>
      </c>
      <c r="D14" s="7" t="s">
        <v>728</v>
      </c>
    </row>
    <row r="15" customFormat="false" ht="116.4" hidden="false" customHeight="false" outlineLevel="0" collapsed="false">
      <c r="A15" s="5" t="n">
        <v>2</v>
      </c>
      <c r="B15" s="6" t="s">
        <v>729</v>
      </c>
      <c r="C15" s="43" t="s">
        <v>730</v>
      </c>
      <c r="D15" s="7" t="s">
        <v>731</v>
      </c>
    </row>
    <row r="16" customFormat="false" ht="105.95" hidden="false" customHeight="false" outlineLevel="0" collapsed="false">
      <c r="A16" s="5" t="n">
        <v>3</v>
      </c>
      <c r="B16" s="6" t="s">
        <v>732</v>
      </c>
      <c r="C16" s="43" t="s">
        <v>294</v>
      </c>
      <c r="D16" s="7" t="s">
        <v>733</v>
      </c>
    </row>
    <row r="17" customFormat="false" ht="105.95" hidden="false" customHeight="false" outlineLevel="0" collapsed="false">
      <c r="A17" s="5" t="n">
        <v>4</v>
      </c>
      <c r="B17" s="6" t="s">
        <v>734</v>
      </c>
      <c r="C17" s="43" t="s">
        <v>735</v>
      </c>
      <c r="D17" s="7" t="s">
        <v>736</v>
      </c>
    </row>
    <row r="18" customFormat="false" ht="126.85" hidden="false" customHeight="false" outlineLevel="0" collapsed="false">
      <c r="A18" s="5" t="n">
        <v>5</v>
      </c>
      <c r="B18" s="6" t="s">
        <v>737</v>
      </c>
      <c r="C18" s="43" t="s">
        <v>738</v>
      </c>
      <c r="D18" s="7" t="s">
        <v>739</v>
      </c>
    </row>
    <row r="20" customFormat="false" ht="19.5" hidden="false" customHeight="true" outlineLevel="0" collapsed="false">
      <c r="A20" s="3" t="s">
        <v>740</v>
      </c>
      <c r="B20" s="3"/>
      <c r="C20" s="3"/>
      <c r="D20" s="3"/>
    </row>
    <row r="21" customFormat="false" ht="30" hidden="false" customHeight="true" outlineLevel="0" collapsed="false">
      <c r="A21" s="4" t="s">
        <v>129</v>
      </c>
      <c r="B21" s="4" t="s">
        <v>741</v>
      </c>
      <c r="C21" s="4" t="s">
        <v>127</v>
      </c>
      <c r="D21" s="4" t="s">
        <v>186</v>
      </c>
    </row>
    <row r="22" customFormat="false" ht="22.35" hidden="false" customHeight="false" outlineLevel="0" collapsed="false">
      <c r="A22" s="5" t="s">
        <v>261</v>
      </c>
      <c r="B22" s="7" t="s">
        <v>742</v>
      </c>
      <c r="C22" s="21" t="s">
        <v>171</v>
      </c>
    </row>
    <row r="23" customFormat="false" ht="22.35" hidden="false" customHeight="false" outlineLevel="0" collapsed="false">
      <c r="A23" s="5" t="s">
        <v>267</v>
      </c>
      <c r="B23" s="7" t="s">
        <v>743</v>
      </c>
      <c r="C23" s="21" t="s">
        <v>171</v>
      </c>
    </row>
    <row r="24" customFormat="false" ht="15" hidden="false" customHeight="false" outlineLevel="0" collapsed="false">
      <c r="A24" s="5" t="s">
        <v>744</v>
      </c>
      <c r="B24" s="7" t="s">
        <v>745</v>
      </c>
      <c r="C24" s="21" t="s">
        <v>142</v>
      </c>
    </row>
    <row r="25" customFormat="false" ht="15" hidden="false" customHeight="false" outlineLevel="0" collapsed="false">
      <c r="A25" s="5" t="s">
        <v>215</v>
      </c>
      <c r="B25" s="7" t="s">
        <v>746</v>
      </c>
      <c r="C25" s="21" t="s">
        <v>210</v>
      </c>
    </row>
    <row r="26" customFormat="false" ht="15" hidden="false" customHeight="false" outlineLevel="0" collapsed="false">
      <c r="A26" s="5" t="s">
        <v>236</v>
      </c>
      <c r="B26" s="7" t="s">
        <v>747</v>
      </c>
      <c r="C26" s="21" t="s">
        <v>748</v>
      </c>
    </row>
    <row r="27" customFormat="false" ht="22.35" hidden="false" customHeight="false" outlineLevel="0" collapsed="false">
      <c r="A27" s="5" t="s">
        <v>356</v>
      </c>
      <c r="B27" s="7" t="s">
        <v>749</v>
      </c>
      <c r="C27" s="21" t="s">
        <v>750</v>
      </c>
    </row>
  </sheetData>
  <mergeCells count="6">
    <mergeCell ref="A1:D1"/>
    <mergeCell ref="A2:D2"/>
    <mergeCell ref="A4:D4"/>
    <mergeCell ref="A8:D8"/>
    <mergeCell ref="A12:D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57"/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2"/>
  </cols>
  <sheetData>
    <row r="1" customFormat="false" ht="25.5" hidden="false" customHeight="true" outlineLevel="0" collapsed="false">
      <c r="A1" s="1" t="s">
        <v>751</v>
      </c>
      <c r="B1" s="1"/>
    </row>
    <row r="2" customFormat="false" ht="30" hidden="false" customHeight="true" outlineLevel="0" collapsed="false">
      <c r="A2" s="2" t="s">
        <v>752</v>
      </c>
      <c r="B2" s="2"/>
    </row>
    <row r="4" customFormat="false" ht="19.5" hidden="false" customHeight="true" outlineLevel="0" collapsed="false">
      <c r="A4" s="3" t="s">
        <v>753</v>
      </c>
      <c r="B4" s="3"/>
    </row>
    <row r="5" customFormat="false" ht="30" hidden="false" customHeight="true" outlineLevel="0" collapsed="false">
      <c r="A5" s="4" t="s">
        <v>754</v>
      </c>
      <c r="B5" s="4" t="s">
        <v>755</v>
      </c>
    </row>
    <row r="6" customFormat="false" ht="22.35" hidden="false" customHeight="false" outlineLevel="0" collapsed="false">
      <c r="A6" s="7" t="s">
        <v>756</v>
      </c>
      <c r="B6" s="12" t="s">
        <v>757</v>
      </c>
    </row>
    <row r="7" customFormat="false" ht="22.35" hidden="false" customHeight="false" outlineLevel="0" collapsed="false">
      <c r="A7" s="7" t="s">
        <v>758</v>
      </c>
      <c r="B7" s="12" t="s">
        <v>759</v>
      </c>
    </row>
    <row r="8" customFormat="false" ht="22.35" hidden="false" customHeight="false" outlineLevel="0" collapsed="false">
      <c r="A8" s="7" t="s">
        <v>760</v>
      </c>
      <c r="B8" s="12" t="s">
        <v>761</v>
      </c>
    </row>
    <row r="9" customFormat="false" ht="22.35" hidden="false" customHeight="false" outlineLevel="0" collapsed="false">
      <c r="A9" s="7" t="s">
        <v>762</v>
      </c>
      <c r="B9" s="12" t="s">
        <v>763</v>
      </c>
    </row>
    <row r="10" customFormat="false" ht="22.35" hidden="false" customHeight="false" outlineLevel="0" collapsed="false">
      <c r="A10" s="7" t="s">
        <v>764</v>
      </c>
      <c r="B10" s="12" t="s">
        <v>765</v>
      </c>
    </row>
    <row r="11" customFormat="false" ht="15" hidden="false" customHeight="false" outlineLevel="0" collapsed="false">
      <c r="A11" s="7" t="s">
        <v>766</v>
      </c>
      <c r="B11" s="12" t="s">
        <v>767</v>
      </c>
    </row>
    <row r="12" customFormat="false" ht="22.35" hidden="false" customHeight="false" outlineLevel="0" collapsed="false">
      <c r="A12" s="7" t="s">
        <v>768</v>
      </c>
      <c r="B12" s="12" t="s">
        <v>769</v>
      </c>
    </row>
    <row r="13" customFormat="false" ht="15" hidden="false" customHeight="false" outlineLevel="0" collapsed="false">
      <c r="A13" s="7" t="s">
        <v>44</v>
      </c>
      <c r="B13" s="12" t="s">
        <v>770</v>
      </c>
    </row>
    <row r="15" customFormat="false" ht="19.5" hidden="false" customHeight="true" outlineLevel="0" collapsed="false">
      <c r="A15" s="3" t="s">
        <v>771</v>
      </c>
      <c r="B15" s="3"/>
    </row>
    <row r="16" customFormat="false" ht="30" hidden="false" customHeight="true" outlineLevel="0" collapsed="false">
      <c r="A16" s="4" t="s">
        <v>501</v>
      </c>
      <c r="B16" s="4" t="s">
        <v>772</v>
      </c>
    </row>
    <row r="17" customFormat="false" ht="32.8" hidden="false" customHeight="false" outlineLevel="0" collapsed="false">
      <c r="A17" s="8" t="s">
        <v>773</v>
      </c>
      <c r="B17" s="7" t="s">
        <v>774</v>
      </c>
    </row>
    <row r="18" customFormat="false" ht="32.8" hidden="false" customHeight="false" outlineLevel="0" collapsed="false">
      <c r="A18" s="8" t="s">
        <v>775</v>
      </c>
      <c r="B18" s="7" t="s">
        <v>776</v>
      </c>
    </row>
    <row r="19" customFormat="false" ht="32.8" hidden="false" customHeight="false" outlineLevel="0" collapsed="false">
      <c r="A19" s="8" t="s">
        <v>777</v>
      </c>
      <c r="B19" s="7" t="s">
        <v>778</v>
      </c>
    </row>
    <row r="21" customFormat="false" ht="19.5" hidden="false" customHeight="true" outlineLevel="0" collapsed="false">
      <c r="A21" s="3" t="s">
        <v>779</v>
      </c>
      <c r="B21" s="3"/>
    </row>
    <row r="22" customFormat="false" ht="15" hidden="false" customHeight="true" outlineLevel="0" collapsed="false">
      <c r="A22" s="44" t="s">
        <v>780</v>
      </c>
      <c r="B22" s="44"/>
    </row>
    <row r="23" customFormat="false" ht="15" hidden="false" customHeight="false" outlineLevel="0" collapsed="false">
      <c r="A23" s="44"/>
      <c r="B23" s="44"/>
    </row>
    <row r="24" customFormat="false" ht="15" hidden="false" customHeight="false" outlineLevel="0" collapsed="false">
      <c r="A24" s="44"/>
      <c r="B24" s="44"/>
    </row>
    <row r="25" customFormat="false" ht="19.5" hidden="false" customHeight="true" outlineLevel="0" collapsed="false">
      <c r="A25" s="3" t="s">
        <v>781</v>
      </c>
      <c r="B25" s="3"/>
    </row>
    <row r="26" customFormat="false" ht="30" hidden="false" customHeight="true" outlineLevel="0" collapsed="false">
      <c r="A26" s="4" t="s">
        <v>782</v>
      </c>
      <c r="B26" s="4" t="s">
        <v>783</v>
      </c>
    </row>
    <row r="27" customFormat="false" ht="15" hidden="false" customHeight="false" outlineLevel="0" collapsed="false">
      <c r="A27" s="6" t="s">
        <v>784</v>
      </c>
      <c r="B27" s="15"/>
    </row>
    <row r="28" customFormat="false" ht="22.35" hidden="false" customHeight="false" outlineLevel="0" collapsed="false">
      <c r="A28" s="6" t="s">
        <v>785</v>
      </c>
      <c r="B28" s="15"/>
    </row>
    <row r="29" customFormat="false" ht="22.35" hidden="false" customHeight="false" outlineLevel="0" collapsed="false">
      <c r="A29" s="6" t="s">
        <v>786</v>
      </c>
      <c r="B29" s="15"/>
    </row>
    <row r="30" customFormat="false" ht="15" hidden="false" customHeight="false" outlineLevel="0" collapsed="false">
      <c r="A30" s="6" t="s">
        <v>787</v>
      </c>
      <c r="B30" s="15"/>
    </row>
    <row r="31" customFormat="false" ht="22.35" hidden="false" customHeight="false" outlineLevel="0" collapsed="false">
      <c r="A31" s="6" t="s">
        <v>788</v>
      </c>
      <c r="B31" s="15"/>
    </row>
    <row r="34" customFormat="false" ht="22.35" hidden="false" customHeight="true" outlineLevel="0" collapsed="false">
      <c r="A34" s="6" t="s">
        <v>789</v>
      </c>
      <c r="B34" s="6"/>
    </row>
    <row r="35" customFormat="false" ht="22.35" hidden="false" customHeight="false" outlineLevel="0" collapsed="false">
      <c r="A35" s="7" t="s">
        <v>790</v>
      </c>
      <c r="B35" s="7" t="s">
        <v>791</v>
      </c>
    </row>
    <row r="36" customFormat="false" ht="15" hidden="false" customHeight="false" outlineLevel="0" collapsed="false">
      <c r="A36" s="45" t="s">
        <v>792</v>
      </c>
      <c r="B36" s="46" t="s">
        <v>793</v>
      </c>
    </row>
  </sheetData>
  <mergeCells count="8">
    <mergeCell ref="A1:B1"/>
    <mergeCell ref="A2:B2"/>
    <mergeCell ref="A4:B4"/>
    <mergeCell ref="A15:B15"/>
    <mergeCell ref="A21:B21"/>
    <mergeCell ref="A22:B24"/>
    <mergeCell ref="A25:B25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2026-08-03T18:59:06Z</dcterms:created>
  <dc:creator>openpyxl</dc:creator>
  <dc:description/>
  <dc:language>en-US</dc:language>
  <cp:lastModifiedBy/>
  <dcterms:modified xsi:type="dcterms:W3CDTF">2026-08-03T18:59:06Z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