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1_Сводка" sheetId="1" state="visible" r:id="rId1"/>
    <sheet xmlns:r="http://schemas.openxmlformats.org/officeDocument/2006/relationships" name="02_График_Гант" sheetId="2" state="visible" r:id="rId2"/>
    <sheet xmlns:r="http://schemas.openxmlformats.org/officeDocument/2006/relationships" name="03_Риски_задержки" sheetId="3" state="visible" r:id="rId3"/>
    <sheet xmlns:r="http://schemas.openxmlformats.org/officeDocument/2006/relationships" name="04_Переделы_допущения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5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2E7D32"/>
      <sz val="10"/>
    </font>
    <font>
      <name val="Arial"/>
      <charset val="1"/>
      <family val="0"/>
      <b val="1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BF8F0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sz val="9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color rgb="FF595959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FFFFFF"/>
      <sz val="7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595959"/>
      <sz val="8"/>
    </font>
    <font>
      <name val="Arial"/>
      <charset val="1"/>
      <family val="0"/>
      <b val="1"/>
      <color rgb="FFC00000"/>
      <sz val="9"/>
    </font>
    <font>
      <name val="Arial"/>
      <charset val="1"/>
      <family val="0"/>
      <b val="1"/>
      <color rgb="FF1F3864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C00000"/>
      <sz val="12"/>
    </font>
    <font>
      <name val="Arial"/>
      <charset val="1"/>
      <family val="0"/>
      <b val="1"/>
      <color rgb="FFC00000"/>
      <sz val="11"/>
    </font>
    <font>
      <name val="Arial"/>
      <charset val="1"/>
      <family val="0"/>
      <i val="1"/>
      <color rgb="FF595959"/>
      <sz val="8"/>
    </font>
    <font>
      <name val="Arial"/>
      <charset val="1"/>
      <family val="0"/>
      <b val="1"/>
      <color rgb="FF1F3864"/>
      <sz val="13"/>
    </font>
    <font>
      <name val="Arial"/>
      <charset val="1"/>
      <family val="0"/>
      <i val="1"/>
      <color rgb="FF595959"/>
      <sz val="9"/>
    </font>
  </fonts>
  <fills count="12">
    <fill>
      <patternFill/>
    </fill>
    <fill>
      <patternFill patternType="gray125"/>
    </fill>
    <fill>
      <patternFill patternType="solid">
        <fgColor rgb="FF1F3864"/>
        <bgColor rgb="FF222222"/>
      </patternFill>
    </fill>
    <fill>
      <patternFill patternType="solid">
        <fgColor rgb="FF2E5A9C"/>
        <bgColor rgb="FF4472C4"/>
      </patternFill>
    </fill>
    <fill>
      <patternFill patternType="solid">
        <fgColor rgb="FFC00000"/>
        <bgColor rgb="FF800000"/>
      </patternFill>
    </fill>
    <fill>
      <patternFill patternType="solid">
        <fgColor rgb="FF4472C4"/>
        <bgColor rgb="FF2E5A9C"/>
      </patternFill>
    </fill>
    <fill>
      <patternFill patternType="solid">
        <fgColor rgb="FF7030A0"/>
        <bgColor rgb="FF993366"/>
      </patternFill>
    </fill>
    <fill>
      <patternFill patternType="solid">
        <fgColor rgb="FF548235"/>
        <bgColor rgb="FF2E7D32"/>
      </patternFill>
    </fill>
    <fill>
      <patternFill patternType="solid">
        <fgColor rgb="FFED7D31"/>
        <bgColor rgb="FFFF8080"/>
      </patternFill>
    </fill>
    <fill>
      <patternFill patternType="solid">
        <fgColor rgb="FF222222"/>
        <bgColor rgb="FF333300"/>
      </patternFill>
    </fill>
    <fill>
      <patternFill patternType="solid">
        <fgColor rgb="FF595959"/>
        <bgColor rgb="FF2E5A9C"/>
      </patternFill>
    </fill>
    <fill>
      <patternFill patternType="solid">
        <fgColor rgb="FFD9E1F2"/>
        <bgColor rgb="FFCCFFFF"/>
      </patternFill>
    </fill>
  </fills>
  <borders count="6">
    <border>
      <left/>
      <right/>
      <top/>
      <bottom/>
      <diagonal/>
    </border>
    <border>
      <left style="thin">
        <color rgb="FFB8C4D9"/>
      </left>
      <right style="thin">
        <color rgb="FFB8C4D9"/>
      </right>
      <top style="thin">
        <color rgb="FFB8C4D9"/>
      </top>
      <bottom style="thin">
        <color rgb="FFB8C4D9"/>
      </bottom>
      <diagonal/>
    </border>
    <border>
      <left/>
      <right/>
      <top style="thin">
        <color rgb="FFB8C4D9"/>
      </top>
      <bottom/>
      <diagonal/>
    </border>
    <border>
      <left/>
      <right style="thin">
        <color rgb="FFB8C4D9"/>
      </right>
      <top style="thin">
        <color rgb="FFB8C4D9"/>
      </top>
      <bottom/>
      <diagonal/>
    </border>
    <border>
      <left/>
      <right/>
      <top style="thin">
        <color rgb="FFB8C4D9"/>
      </top>
      <bottom style="thin">
        <color rgb="FFB8C4D9"/>
      </bottom>
      <diagonal/>
    </border>
    <border>
      <left/>
      <right style="thin">
        <color rgb="FFB8C4D9"/>
      </right>
      <top style="thin">
        <color rgb="FFB8C4D9"/>
      </top>
      <bottom style="thin">
        <color rgb="FFB8C4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left" vertical="center" wrapText="1"/>
    </xf>
    <xf numFmtId="0" fontId="0" fillId="11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21" fillId="2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left" vertical="center" wrapText="1"/>
    </xf>
    <xf numFmtId="0" fontId="0" fillId="11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21" fillId="2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8C4D9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ED7D31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2E5A9C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F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6" min="1" max="1"/>
    <col width="30" customWidth="1" style="46" min="2" max="2"/>
    <col width="16" customWidth="1" style="46" min="3" max="5"/>
    <col width="20" customWidth="1" style="46" min="6" max="6"/>
    <col width="24" customWidth="1" style="46" min="7" max="7"/>
  </cols>
  <sheetData>
    <row r="2" ht="18" customHeight="1" s="47">
      <c r="B2" s="48" t="inlineStr">
        <is>
          <t>ГРАФИК ПРОИЗВОДСТВА РАБОТ — ЖДПП «ЗАУРАЛЬЕ» (СОТ + ЭОМ)</t>
        </is>
      </c>
    </row>
    <row r="3" ht="15" customHeight="1" s="47">
      <c r="B3" s="49" t="inlineStr">
        <is>
          <t>Интеллектуальный календарный план с учётом рисков, переделов и режимных блокеров · ИИ-руководитель проекта · 03.08.2026</t>
        </is>
      </c>
    </row>
    <row r="4" ht="15" customHeight="1" s="47">
      <c r="B4" s="50" t="inlineStr">
        <is>
          <t>Отсчёт в неделях от Т0 (дата подписания договора / выхода на объект). Т0 в документах не задан.</t>
        </is>
      </c>
    </row>
    <row r="6" ht="15" customHeight="1" s="47">
      <c r="B6" s="51" t="inlineStr">
        <is>
          <t>ГЛАВНЫЙ ВОПРОС: ЗА СКОЛЬКО РЕАЛЬНО ПОСТРОИТЬ?</t>
        </is>
      </c>
      <c r="C6" s="52" t="n"/>
      <c r="D6" s="52" t="n"/>
      <c r="E6" s="52" t="n"/>
      <c r="F6" s="53" t="n"/>
    </row>
    <row r="7" ht="15" customHeight="1" s="47">
      <c r="B7" s="54" t="inlineStr">
        <is>
          <t>Сценарий</t>
        </is>
      </c>
      <c r="C7" s="54" t="inlineStr">
        <is>
          <t>Срок от Т0</t>
        </is>
      </c>
      <c r="D7" s="53" t="n"/>
      <c r="E7" s="54" t="inlineStr">
        <is>
          <t>Условие реализации</t>
        </is>
      </c>
      <c r="F7" s="53" t="n"/>
    </row>
    <row r="8" ht="21.75" customHeight="1" s="47">
      <c r="B8" s="55" t="inlineStr">
        <is>
          <t>🟢 Оптимистичный</t>
        </is>
      </c>
      <c r="C8" s="56" t="inlineStr">
        <is>
          <t>22 недели (~5,5 мес)</t>
        </is>
      </c>
      <c r="D8" s="53" t="n"/>
      <c r="E8" s="57" t="inlineStr">
        <is>
          <t>Давальческое поставлено вовремя, допуски ФСБ готовы заранее, окна РЖД без срывов</t>
        </is>
      </c>
      <c r="F8" s="53" t="n"/>
    </row>
    <row r="9" ht="32.25" customHeight="1" s="47">
      <c r="B9" s="58" t="inlineStr">
        <is>
          <t>🟡 Реалистичный (базовый)</t>
        </is>
      </c>
      <c r="C9" s="56" t="inlineStr">
        <is>
          <t>30 недель (~7 мес)</t>
        </is>
      </c>
      <c r="D9" s="53" t="n"/>
      <c r="E9" s="57" t="inlineStr">
        <is>
          <t>Норма для режимного ж/д объекта. Заложены типовые задержки поставок и окон</t>
        </is>
      </c>
      <c r="F9" s="53" t="n"/>
    </row>
    <row r="10" ht="21.75" customHeight="1" s="47">
      <c r="B10" s="59" t="inlineStr">
        <is>
          <t>🔴 Пессимистичный</t>
        </is>
      </c>
      <c r="C10" s="56" t="inlineStr">
        <is>
          <t>40+ недель (~9-10 мес)</t>
        </is>
      </c>
      <c r="D10" s="53" t="n"/>
      <c r="E10" s="57" t="inlineStr">
        <is>
          <t>Срыв давальческой поставки, задержка допусков/аттестации, простои по окнам РЖД</t>
        </is>
      </c>
      <c r="F10" s="53" t="n"/>
    </row>
    <row r="12" ht="15" customHeight="1" s="47">
      <c r="B12" s="60" t="inlineStr">
        <is>
          <t>❗ КЛЮЧЕВОЕ: до Т0 есть преддоговорная фаза — официальные запросы (объём КС, объём оборудования, режим закупки).</t>
        </is>
      </c>
    </row>
    <row r="13" ht="15" customHeight="1" s="47">
      <c r="B13" s="50" t="inlineStr">
        <is>
          <t>Без ответов на 3 условия договор не подписывается — то есть Т0 наступает ТОЛЬКО после закрытия преддоговорной фазы (2-6 недель).</t>
        </is>
      </c>
    </row>
    <row r="15" ht="15" customHeight="1" s="47">
      <c r="B15" s="61" t="inlineStr">
        <is>
          <t>ЛЕГЕНДА ПОЛОСЫ ГАНТА (лист 02)</t>
        </is>
      </c>
    </row>
    <row r="16" ht="15" customHeight="1" s="47">
      <c r="B16" s="62" t="n"/>
      <c r="C16" s="63" t="inlineStr">
        <is>
          <t>Критический путь</t>
        </is>
      </c>
      <c r="D16" s="64" t="inlineStr">
        <is>
          <t>определяет срок объекта</t>
        </is>
      </c>
    </row>
    <row r="17" ht="15" customHeight="1" s="47">
      <c r="B17" s="65" t="n"/>
      <c r="C17" s="63" t="inlineStr">
        <is>
          <t>Обычная работа</t>
        </is>
      </c>
      <c r="D17" s="64" t="inlineStr">
        <is>
          <t>есть резерв</t>
        </is>
      </c>
    </row>
    <row r="18" ht="21.75" customHeight="1" s="47">
      <c r="B18" s="66" t="n"/>
      <c r="C18" s="63" t="inlineStr">
        <is>
          <t>Поставка / срок поставки</t>
        </is>
      </c>
      <c r="D18" s="64" t="inlineStr">
        <is>
          <t>ожидание материалов</t>
        </is>
      </c>
    </row>
    <row r="19" ht="32.25" customHeight="1" s="47">
      <c r="B19" s="67" t="n"/>
      <c r="C19" s="63" t="inlineStr">
        <is>
          <t>Режим ФСБ (допуски/аттестация)</t>
        </is>
      </c>
      <c r="D19" s="64" t="inlineStr">
        <is>
          <t>длинные параллельные процессы</t>
        </is>
      </c>
    </row>
    <row r="20" ht="21.75" customHeight="1" s="47">
      <c r="B20" s="68" t="n"/>
      <c r="C20" s="63" t="inlineStr">
        <is>
          <t>Риск-передел / буфер</t>
        </is>
      </c>
      <c r="D20" s="64" t="inlineStr">
        <is>
          <t>заложенная задержка</t>
        </is>
      </c>
    </row>
    <row r="21" ht="21.75" customHeight="1" s="47">
      <c r="B21" s="69" t="n"/>
      <c r="C21" s="63" t="inlineStr">
        <is>
          <t>контрольная точка (ворота-решение)</t>
        </is>
      </c>
      <c r="D21" s="64" t="inlineStr">
        <is>
          <t>без ответа дальше нельзя</t>
        </is>
      </c>
    </row>
  </sheetData>
  <mergeCells count="17">
    <mergeCell ref="E9:F9"/>
    <mergeCell ref="B12:F12"/>
    <mergeCell ref="D19:F19"/>
    <mergeCell ref="B6:F6"/>
    <mergeCell ref="C10:D10"/>
    <mergeCell ref="C7:D7"/>
    <mergeCell ref="E7:F7"/>
    <mergeCell ref="E10:F10"/>
    <mergeCell ref="C8:D8"/>
    <mergeCell ref="E8:F8"/>
    <mergeCell ref="D18:F18"/>
    <mergeCell ref="D17:F17"/>
    <mergeCell ref="C9:D9"/>
    <mergeCell ref="D21:F21"/>
    <mergeCell ref="D20:F20"/>
    <mergeCell ref="D16:F16"/>
    <mergeCell ref="B13:F1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U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7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46" min="1" max="1"/>
    <col width="34" customWidth="1" style="46" min="2" max="2"/>
    <col width="16" customWidth="1" style="46" min="3" max="3"/>
    <col width="7" customWidth="1" style="46" min="4" max="6"/>
    <col width="6" customWidth="1" style="46" min="7" max="7"/>
    <col width="2.6" customWidth="1" style="46" min="8" max="47"/>
  </cols>
  <sheetData>
    <row r="1" ht="15" customHeight="1" s="47">
      <c r="A1" s="70" t="inlineStr">
        <is>
          <t>ГРАФИК ПРОИЗВОДСТВА РАБОТ · ЖДПП ЗАУРАЛЬЕ · недели от Т0</t>
        </is>
      </c>
      <c r="H1" s="71" t="inlineStr">
        <is>
          <t>ШКАЛА ВРЕМЕНИ (недели)</t>
        </is>
      </c>
    </row>
    <row r="2" ht="15" customHeight="1" s="47">
      <c r="H2" s="72" t="inlineStr">
        <is>
          <t>М1</t>
        </is>
      </c>
      <c r="L2" s="73" t="inlineStr">
        <is>
          <t>М2</t>
        </is>
      </c>
      <c r="P2" s="72" t="inlineStr">
        <is>
          <t>М3</t>
        </is>
      </c>
      <c r="T2" s="73" t="inlineStr">
        <is>
          <t>М4</t>
        </is>
      </c>
      <c r="X2" s="72" t="inlineStr">
        <is>
          <t>М5</t>
        </is>
      </c>
      <c r="AB2" s="73" t="inlineStr">
        <is>
          <t>М6</t>
        </is>
      </c>
      <c r="AF2" s="72" t="inlineStr">
        <is>
          <t>М7</t>
        </is>
      </c>
      <c r="AJ2" s="73" t="inlineStr">
        <is>
          <t>М8</t>
        </is>
      </c>
      <c r="AN2" s="72" t="inlineStr">
        <is>
          <t>М9</t>
        </is>
      </c>
      <c r="AR2" s="73" t="inlineStr">
        <is>
          <t>М10</t>
        </is>
      </c>
    </row>
    <row r="3" ht="21.75" customHeight="1" s="47">
      <c r="A3" s="74" t="inlineStr">
        <is>
          <t>№</t>
        </is>
      </c>
      <c r="B3" s="74" t="inlineStr">
        <is>
          <t>Этап / работа</t>
        </is>
      </c>
      <c r="C3" s="74" t="inlineStr">
        <is>
          <t>Ответственный</t>
        </is>
      </c>
      <c r="D3" s="74" t="inlineStr">
        <is>
          <t>Старт
(нед)</t>
        </is>
      </c>
      <c r="E3" s="74" t="inlineStr">
        <is>
          <t>Длит.
(нед)</t>
        </is>
      </c>
      <c r="F3" s="74" t="inlineStr">
        <is>
          <t>Фин.
(нед)</t>
        </is>
      </c>
      <c r="G3" s="74" t="inlineStr">
        <is>
          <t>Кр.
путь</t>
        </is>
      </c>
      <c r="H3" s="75" t="n">
        <v>1</v>
      </c>
      <c r="I3" s="75" t="n">
        <v>2</v>
      </c>
      <c r="J3" s="75" t="n">
        <v>3</v>
      </c>
      <c r="K3" s="75" t="n">
        <v>4</v>
      </c>
      <c r="L3" s="75" t="n">
        <v>5</v>
      </c>
      <c r="M3" s="75" t="n">
        <v>6</v>
      </c>
      <c r="N3" s="75" t="n">
        <v>7</v>
      </c>
      <c r="O3" s="75" t="n">
        <v>8</v>
      </c>
      <c r="P3" s="75" t="n">
        <v>9</v>
      </c>
      <c r="Q3" s="75" t="n">
        <v>10</v>
      </c>
      <c r="R3" s="75" t="n">
        <v>11</v>
      </c>
      <c r="S3" s="75" t="n">
        <v>12</v>
      </c>
      <c r="T3" s="75" t="n">
        <v>13</v>
      </c>
      <c r="U3" s="75" t="n">
        <v>14</v>
      </c>
      <c r="V3" s="75" t="n">
        <v>15</v>
      </c>
      <c r="W3" s="75" t="n">
        <v>16</v>
      </c>
      <c r="X3" s="75" t="n">
        <v>17</v>
      </c>
      <c r="Y3" s="75" t="n">
        <v>18</v>
      </c>
      <c r="Z3" s="75" t="n">
        <v>19</v>
      </c>
      <c r="AA3" s="75" t="n">
        <v>20</v>
      </c>
      <c r="AB3" s="75" t="n">
        <v>21</v>
      </c>
      <c r="AC3" s="75" t="n">
        <v>22</v>
      </c>
      <c r="AD3" s="75" t="n">
        <v>23</v>
      </c>
      <c r="AE3" s="75" t="n">
        <v>24</v>
      </c>
      <c r="AF3" s="75" t="n">
        <v>25</v>
      </c>
      <c r="AG3" s="75" t="n">
        <v>26</v>
      </c>
      <c r="AH3" s="75" t="n">
        <v>27</v>
      </c>
      <c r="AI3" s="75" t="n">
        <v>28</v>
      </c>
      <c r="AJ3" s="75" t="n">
        <v>29</v>
      </c>
      <c r="AK3" s="75" t="n">
        <v>30</v>
      </c>
      <c r="AL3" s="75" t="n">
        <v>31</v>
      </c>
      <c r="AM3" s="75" t="n">
        <v>32</v>
      </c>
      <c r="AN3" s="75" t="n">
        <v>33</v>
      </c>
      <c r="AO3" s="75" t="n">
        <v>34</v>
      </c>
      <c r="AP3" s="75" t="n">
        <v>35</v>
      </c>
      <c r="AQ3" s="75" t="n">
        <v>36</v>
      </c>
      <c r="AR3" s="75" t="n">
        <v>37</v>
      </c>
      <c r="AS3" s="75" t="n">
        <v>38</v>
      </c>
      <c r="AT3" s="75" t="n">
        <v>39</v>
      </c>
      <c r="AU3" s="75" t="n">
        <v>40</v>
      </c>
    </row>
    <row r="4" ht="15" customHeight="1" s="47">
      <c r="A4" s="76" t="inlineStr">
        <is>
          <t>ФАЗА 0. ПРЕДДОГОВОРНАЯ (до Т0)</t>
        </is>
      </c>
      <c r="B4" s="52" t="n"/>
      <c r="C4" s="52" t="n"/>
      <c r="D4" s="52" t="n"/>
      <c r="E4" s="52" t="n"/>
      <c r="F4" s="52" t="n"/>
      <c r="G4" s="53" t="n"/>
      <c r="H4" s="77" t="n"/>
      <c r="I4" s="77" t="n"/>
      <c r="J4" s="77" t="n"/>
      <c r="K4" s="77" t="n"/>
      <c r="L4" s="77" t="n"/>
      <c r="M4" s="77" t="n"/>
      <c r="N4" s="77" t="n"/>
      <c r="O4" s="77" t="n"/>
      <c r="P4" s="77" t="n"/>
      <c r="Q4" s="77" t="n"/>
      <c r="R4" s="77" t="n"/>
      <c r="S4" s="77" t="n"/>
      <c r="T4" s="77" t="n"/>
      <c r="U4" s="77" t="n"/>
      <c r="V4" s="77" t="n"/>
      <c r="W4" s="77" t="n"/>
      <c r="X4" s="77" t="n"/>
      <c r="Y4" s="77" t="n"/>
      <c r="Z4" s="77" t="n"/>
      <c r="AA4" s="77" t="n"/>
      <c r="AB4" s="77" t="n"/>
      <c r="AC4" s="77" t="n"/>
      <c r="AD4" s="77" t="n"/>
      <c r="AE4" s="77" t="n"/>
      <c r="AF4" s="77" t="n"/>
      <c r="AG4" s="77" t="n"/>
      <c r="AH4" s="77" t="n"/>
      <c r="AI4" s="77" t="n"/>
      <c r="AJ4" s="77" t="n"/>
      <c r="AK4" s="77" t="n"/>
      <c r="AL4" s="77" t="n"/>
      <c r="AM4" s="77" t="n"/>
      <c r="AN4" s="77" t="n"/>
      <c r="AO4" s="77" t="n"/>
      <c r="AP4" s="77" t="n"/>
      <c r="AQ4" s="77" t="n"/>
      <c r="AR4" s="77" t="n"/>
      <c r="AS4" s="77" t="n"/>
      <c r="AT4" s="77" t="n"/>
      <c r="AU4" s="77" t="n"/>
    </row>
    <row r="5" ht="21.75" customHeight="1" s="47">
      <c r="A5" s="78" t="n">
        <v>1</v>
      </c>
      <c r="B5" s="57" t="inlineStr">
        <is>
          <t>Запросы: объём КС, объём оборуд., режим закупки</t>
        </is>
      </c>
      <c r="C5" s="79" t="inlineStr">
        <is>
          <t>ИИ-договорник/ИИ-руководитель проекта</t>
        </is>
      </c>
      <c r="D5" s="78" t="n">
        <v>0</v>
      </c>
      <c r="E5" s="78" t="n">
        <v>4</v>
      </c>
      <c r="F5" s="80">
        <f>D5+E5</f>
        <v/>
      </c>
      <c r="G5" s="81" t="inlineStr">
        <is>
          <t>✔</t>
        </is>
      </c>
      <c r="H5" s="69" t="n"/>
      <c r="I5" s="69" t="n"/>
      <c r="J5" s="69" t="n"/>
      <c r="K5" s="69" t="n"/>
      <c r="L5" s="82" t="n"/>
      <c r="M5" s="82" t="n"/>
      <c r="N5" s="82" t="n"/>
      <c r="O5" s="82" t="n"/>
      <c r="P5" s="82" t="n"/>
      <c r="Q5" s="82" t="n"/>
      <c r="R5" s="82" t="n"/>
      <c r="S5" s="82" t="n"/>
      <c r="T5" s="82" t="n"/>
      <c r="U5" s="82" t="n"/>
      <c r="V5" s="82" t="n"/>
      <c r="W5" s="82" t="n"/>
      <c r="X5" s="82" t="n"/>
      <c r="Y5" s="82" t="n"/>
      <c r="Z5" s="82" t="n"/>
      <c r="AA5" s="82" t="n"/>
      <c r="AB5" s="82" t="n"/>
      <c r="AC5" s="82" t="n"/>
      <c r="AD5" s="82" t="n"/>
      <c r="AE5" s="82" t="n"/>
      <c r="AF5" s="82" t="n"/>
      <c r="AG5" s="82" t="n"/>
      <c r="AH5" s="82" t="n"/>
      <c r="AI5" s="82" t="n"/>
      <c r="AJ5" s="82" t="n"/>
      <c r="AK5" s="82" t="n"/>
      <c r="AL5" s="82" t="n"/>
      <c r="AM5" s="82" t="n"/>
      <c r="AN5" s="82" t="n"/>
      <c r="AO5" s="82" t="n"/>
      <c r="AP5" s="82" t="n"/>
      <c r="AQ5" s="82" t="n"/>
      <c r="AR5" s="82" t="n"/>
      <c r="AS5" s="82" t="n"/>
      <c r="AT5" s="82" t="n"/>
      <c r="AU5" s="82" t="n"/>
    </row>
    <row r="6" ht="21.75" customHeight="1" s="47">
      <c r="A6" s="78" t="n">
        <v>2</v>
      </c>
      <c r="B6" s="57" t="inlineStr">
        <is>
          <t>Ответы РЖД/заказчика (контрольная точка — без них стоп)</t>
        </is>
      </c>
      <c r="C6" s="79" t="inlineStr">
        <is>
          <t>Заказчик/РЖД</t>
        </is>
      </c>
      <c r="D6" s="78" t="n">
        <v>4</v>
      </c>
      <c r="E6" s="78" t="n">
        <v>2</v>
      </c>
      <c r="F6" s="80">
        <f>D6+E6</f>
        <v/>
      </c>
      <c r="G6" s="81" t="inlineStr">
        <is>
          <t>✔</t>
        </is>
      </c>
      <c r="H6" s="82" t="n"/>
      <c r="I6" s="82" t="n"/>
      <c r="J6" s="82" t="n"/>
      <c r="K6" s="82" t="n"/>
      <c r="L6" s="69" t="n"/>
      <c r="M6" s="69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82" t="n"/>
      <c r="AJ6" s="82" t="n"/>
      <c r="AK6" s="82" t="n"/>
      <c r="AL6" s="82" t="n"/>
      <c r="AM6" s="82" t="n"/>
      <c r="AN6" s="82" t="n"/>
      <c r="AO6" s="82" t="n"/>
      <c r="AP6" s="82" t="n"/>
      <c r="AQ6" s="82" t="n"/>
      <c r="AR6" s="82" t="n"/>
      <c r="AS6" s="82" t="n"/>
      <c r="AT6" s="82" t="n"/>
      <c r="AU6" s="82" t="n"/>
    </row>
    <row r="7" ht="15" customHeight="1" s="47">
      <c r="A7" s="76" t="inlineStr">
        <is>
          <t>ФАЗА 1. МОБИЛИЗАЦИЯ И ДОПУСКИ</t>
        </is>
      </c>
      <c r="B7" s="52" t="n"/>
      <c r="C7" s="52" t="n"/>
      <c r="D7" s="52" t="n"/>
      <c r="E7" s="52" t="n"/>
      <c r="F7" s="52" t="n"/>
      <c r="G7" s="53" t="n"/>
      <c r="H7" s="77" t="n"/>
      <c r="I7" s="77" t="n"/>
      <c r="J7" s="77" t="n"/>
      <c r="K7" s="77" t="n"/>
      <c r="L7" s="77" t="n"/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7" t="n"/>
      <c r="AF7" s="77" t="n"/>
      <c r="AG7" s="77" t="n"/>
      <c r="AH7" s="77" t="n"/>
      <c r="AI7" s="77" t="n"/>
      <c r="AJ7" s="77" t="n"/>
      <c r="AK7" s="77" t="n"/>
      <c r="AL7" s="77" t="n"/>
      <c r="AM7" s="77" t="n"/>
      <c r="AN7" s="77" t="n"/>
      <c r="AO7" s="77" t="n"/>
      <c r="AP7" s="77" t="n"/>
      <c r="AQ7" s="77" t="n"/>
      <c r="AR7" s="77" t="n"/>
      <c r="AS7" s="77" t="n"/>
      <c r="AT7" s="77" t="n"/>
      <c r="AU7" s="77" t="n"/>
    </row>
    <row r="8" ht="21.75" customHeight="1" s="47">
      <c r="A8" s="78" t="n">
        <v>3</v>
      </c>
      <c r="B8" s="83" t="inlineStr">
        <is>
          <t>Заключение договора, Т0, приказы о назначении</t>
        </is>
      </c>
      <c r="C8" s="79" t="inlineStr">
        <is>
          <t>ГП/ИИ-администратор</t>
        </is>
      </c>
      <c r="D8" s="78" t="n">
        <v>6</v>
      </c>
      <c r="E8" s="78" t="n">
        <v>1</v>
      </c>
      <c r="F8" s="80">
        <f>D8+E8</f>
        <v/>
      </c>
      <c r="G8" s="81" t="inlineStr">
        <is>
          <t>✔</t>
        </is>
      </c>
      <c r="H8" s="82" t="n"/>
      <c r="I8" s="82" t="n"/>
      <c r="J8" s="82" t="n"/>
      <c r="K8" s="82" t="n"/>
      <c r="L8" s="82" t="n"/>
      <c r="M8" s="82" t="n"/>
      <c r="N8" s="62" t="n"/>
      <c r="O8" s="82" t="n"/>
      <c r="P8" s="82" t="n"/>
      <c r="Q8" s="82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  <c r="AA8" s="82" t="n"/>
      <c r="AB8" s="82" t="n"/>
      <c r="AC8" s="82" t="n"/>
      <c r="AD8" s="82" t="n"/>
      <c r="AE8" s="82" t="n"/>
      <c r="AF8" s="82" t="n"/>
      <c r="AG8" s="82" t="n"/>
      <c r="AH8" s="82" t="n"/>
      <c r="AI8" s="82" t="n"/>
      <c r="AJ8" s="82" t="n"/>
      <c r="AK8" s="82" t="n"/>
      <c r="AL8" s="82" t="n"/>
      <c r="AM8" s="82" t="n"/>
      <c r="AN8" s="82" t="n"/>
      <c r="AO8" s="82" t="n"/>
      <c r="AP8" s="82" t="n"/>
      <c r="AQ8" s="82" t="n"/>
      <c r="AR8" s="82" t="n"/>
      <c r="AS8" s="82" t="n"/>
      <c r="AT8" s="82" t="n"/>
      <c r="AU8" s="82" t="n"/>
    </row>
    <row r="9" ht="15" customHeight="1" s="47">
      <c r="A9" s="78" t="n">
        <v>4</v>
      </c>
      <c r="B9" s="57" t="inlineStr">
        <is>
          <t>Оформление допусков к гостайне (ФСБ)</t>
        </is>
      </c>
      <c r="C9" s="79" t="inlineStr">
        <is>
          <t>ГП/подряд</t>
        </is>
      </c>
      <c r="D9" s="78" t="n">
        <v>6</v>
      </c>
      <c r="E9" s="78" t="n">
        <v>10</v>
      </c>
      <c r="F9" s="80">
        <f>D9+E9</f>
        <v/>
      </c>
      <c r="G9" s="81" t="n"/>
      <c r="H9" s="82" t="n"/>
      <c r="I9" s="82" t="n"/>
      <c r="J9" s="82" t="n"/>
      <c r="K9" s="82" t="n"/>
      <c r="L9" s="82" t="n"/>
      <c r="M9" s="82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  <c r="AL9" s="82" t="n"/>
      <c r="AM9" s="82" t="n"/>
      <c r="AN9" s="82" t="n"/>
      <c r="AO9" s="82" t="n"/>
      <c r="AP9" s="82" t="n"/>
      <c r="AQ9" s="82" t="n"/>
      <c r="AR9" s="82" t="n"/>
      <c r="AS9" s="82" t="n"/>
      <c r="AT9" s="82" t="n"/>
      <c r="AU9" s="82" t="n"/>
    </row>
    <row r="10" ht="21.75" customHeight="1" s="47">
      <c r="A10" s="78" t="n">
        <v>5</v>
      </c>
      <c r="B10" s="57" t="inlineStr">
        <is>
          <t>Лицензии монтажника СОТ (проверка/подтв.)</t>
        </is>
      </c>
      <c r="C10" s="79" t="inlineStr">
        <is>
          <t>ИИ-подрядчик/ИИ-ПТО</t>
        </is>
      </c>
      <c r="D10" s="78" t="n">
        <v>6</v>
      </c>
      <c r="E10" s="78" t="n">
        <v>2</v>
      </c>
      <c r="F10" s="80">
        <f>D10+E10</f>
        <v/>
      </c>
      <c r="G10" s="81" t="n"/>
      <c r="H10" s="82" t="n"/>
      <c r="I10" s="82" t="n"/>
      <c r="J10" s="82" t="n"/>
      <c r="K10" s="82" t="n"/>
      <c r="L10" s="82" t="n"/>
      <c r="M10" s="82" t="n"/>
      <c r="N10" s="67" t="n"/>
      <c r="O10" s="67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82" t="n"/>
      <c r="AJ10" s="82" t="n"/>
      <c r="AK10" s="82" t="n"/>
      <c r="AL10" s="82" t="n"/>
      <c r="AM10" s="82" t="n"/>
      <c r="AN10" s="82" t="n"/>
      <c r="AO10" s="82" t="n"/>
      <c r="AP10" s="82" t="n"/>
      <c r="AQ10" s="82" t="n"/>
      <c r="AR10" s="82" t="n"/>
      <c r="AS10" s="82" t="n"/>
      <c r="AT10" s="82" t="n"/>
      <c r="AU10" s="82" t="n"/>
    </row>
    <row r="11" ht="15" customHeight="1" s="47">
      <c r="A11" s="78" t="n">
        <v>6</v>
      </c>
      <c r="B11" s="57" t="inlineStr">
        <is>
          <t>Договор с аккредит. электролабораторией</t>
        </is>
      </c>
      <c r="C11" s="79" t="inlineStr">
        <is>
          <t>ИИ-ПТО</t>
        </is>
      </c>
      <c r="D11" s="78" t="n">
        <v>6</v>
      </c>
      <c r="E11" s="78" t="n">
        <v>3</v>
      </c>
      <c r="F11" s="80">
        <f>D11+E11</f>
        <v/>
      </c>
      <c r="G11" s="81" t="n"/>
      <c r="H11" s="82" t="n"/>
      <c r="I11" s="82" t="n"/>
      <c r="J11" s="82" t="n"/>
      <c r="K11" s="82" t="n"/>
      <c r="L11" s="82" t="n"/>
      <c r="M11" s="82" t="n"/>
      <c r="N11" s="65" t="n"/>
      <c r="O11" s="65" t="n"/>
      <c r="P11" s="65" t="n"/>
      <c r="Q11" s="82" t="n"/>
      <c r="R11" s="82" t="n"/>
      <c r="S11" s="82" t="n"/>
      <c r="T11" s="82" t="n"/>
      <c r="U11" s="82" t="n"/>
      <c r="V11" s="82" t="n"/>
      <c r="W11" s="82" t="n"/>
      <c r="X11" s="82" t="n"/>
      <c r="Y11" s="82" t="n"/>
      <c r="Z11" s="82" t="n"/>
      <c r="AA11" s="82" t="n"/>
      <c r="AB11" s="82" t="n"/>
      <c r="AC11" s="82" t="n"/>
      <c r="AD11" s="82" t="n"/>
      <c r="AE11" s="82" t="n"/>
      <c r="AF11" s="82" t="n"/>
      <c r="AG11" s="82" t="n"/>
      <c r="AH11" s="82" t="n"/>
      <c r="AI11" s="82" t="n"/>
      <c r="AJ11" s="82" t="n"/>
      <c r="AK11" s="82" t="n"/>
      <c r="AL11" s="82" t="n"/>
      <c r="AM11" s="82" t="n"/>
      <c r="AN11" s="82" t="n"/>
      <c r="AO11" s="82" t="n"/>
      <c r="AP11" s="82" t="n"/>
      <c r="AQ11" s="82" t="n"/>
      <c r="AR11" s="82" t="n"/>
      <c r="AS11" s="82" t="n"/>
      <c r="AT11" s="82" t="n"/>
      <c r="AU11" s="82" t="n"/>
    </row>
    <row r="12" ht="15" customHeight="1" s="47">
      <c r="A12" s="78" t="n">
        <v>7</v>
      </c>
      <c r="B12" s="83" t="inlineStr">
        <is>
          <t>ПОС/ППР под ж/д + режим, техкарты</t>
        </is>
      </c>
      <c r="C12" s="79" t="inlineStr">
        <is>
          <t>Проектир./ГП</t>
        </is>
      </c>
      <c r="D12" s="78" t="n">
        <v>6</v>
      </c>
      <c r="E12" s="78" t="n">
        <v>4</v>
      </c>
      <c r="F12" s="80">
        <f>D12+E12</f>
        <v/>
      </c>
      <c r="G12" s="81" t="inlineStr">
        <is>
          <t>✔</t>
        </is>
      </c>
      <c r="H12" s="82" t="n"/>
      <c r="I12" s="82" t="n"/>
      <c r="J12" s="82" t="n"/>
      <c r="K12" s="82" t="n"/>
      <c r="L12" s="82" t="n"/>
      <c r="M12" s="82" t="n"/>
      <c r="N12" s="62" t="n"/>
      <c r="O12" s="62" t="n"/>
      <c r="P12" s="62" t="n"/>
      <c r="Q12" s="62" t="n"/>
      <c r="R12" s="82" t="n"/>
      <c r="S12" s="82" t="n"/>
      <c r="T12" s="82" t="n"/>
      <c r="U12" s="82" t="n"/>
      <c r="V12" s="82" t="n"/>
      <c r="W12" s="82" t="n"/>
      <c r="X12" s="82" t="n"/>
      <c r="Y12" s="82" t="n"/>
      <c r="Z12" s="82" t="n"/>
      <c r="AA12" s="82" t="n"/>
      <c r="AB12" s="82" t="n"/>
      <c r="AC12" s="82" t="n"/>
      <c r="AD12" s="82" t="n"/>
      <c r="AE12" s="82" t="n"/>
      <c r="AF12" s="82" t="n"/>
      <c r="AG12" s="82" t="n"/>
      <c r="AH12" s="82" t="n"/>
      <c r="AI12" s="82" t="n"/>
      <c r="AJ12" s="82" t="n"/>
      <c r="AK12" s="82" t="n"/>
      <c r="AL12" s="82" t="n"/>
      <c r="AM12" s="82" t="n"/>
      <c r="AN12" s="82" t="n"/>
      <c r="AO12" s="82" t="n"/>
      <c r="AP12" s="82" t="n"/>
      <c r="AQ12" s="82" t="n"/>
      <c r="AR12" s="82" t="n"/>
      <c r="AS12" s="82" t="n"/>
      <c r="AT12" s="82" t="n"/>
      <c r="AU12" s="82" t="n"/>
    </row>
    <row r="13" ht="15" customHeight="1" s="47">
      <c r="A13" s="78" t="n">
        <v>8</v>
      </c>
      <c r="B13" s="83" t="inlineStr">
        <is>
          <t>Акт-допуск на территорию РЖД</t>
        </is>
      </c>
      <c r="C13" s="79" t="inlineStr">
        <is>
          <t>ГП/РЖД</t>
        </is>
      </c>
      <c r="D13" s="78" t="n">
        <v>7</v>
      </c>
      <c r="E13" s="78" t="n">
        <v>3</v>
      </c>
      <c r="F13" s="80">
        <f>D13+E13</f>
        <v/>
      </c>
      <c r="G13" s="81" t="inlineStr">
        <is>
          <t>✔</t>
        </is>
      </c>
      <c r="H13" s="82" t="n"/>
      <c r="I13" s="82" t="n"/>
      <c r="J13" s="82" t="n"/>
      <c r="K13" s="82" t="n"/>
      <c r="L13" s="82" t="n"/>
      <c r="M13" s="82" t="n"/>
      <c r="N13" s="82" t="n"/>
      <c r="O13" s="62" t="n"/>
      <c r="P13" s="62" t="n"/>
      <c r="Q13" s="6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82" t="n"/>
      <c r="AJ13" s="82" t="n"/>
      <c r="AK13" s="82" t="n"/>
      <c r="AL13" s="82" t="n"/>
      <c r="AM13" s="82" t="n"/>
      <c r="AN13" s="82" t="n"/>
      <c r="AO13" s="82" t="n"/>
      <c r="AP13" s="82" t="n"/>
      <c r="AQ13" s="82" t="n"/>
      <c r="AR13" s="82" t="n"/>
      <c r="AS13" s="82" t="n"/>
      <c r="AT13" s="82" t="n"/>
      <c r="AU13" s="82" t="n"/>
    </row>
    <row r="14" ht="15" customHeight="1" s="47">
      <c r="A14" s="76" t="inlineStr">
        <is>
          <t>ФАЗА 2. ПОСТАВКИ (сроки поставки)</t>
        </is>
      </c>
      <c r="B14" s="52" t="n"/>
      <c r="C14" s="52" t="n"/>
      <c r="D14" s="52" t="n"/>
      <c r="E14" s="52" t="n"/>
      <c r="F14" s="52" t="n"/>
      <c r="G14" s="53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</row>
    <row r="15" ht="21.75" customHeight="1" s="47">
      <c r="A15" s="78" t="n">
        <v>9</v>
      </c>
      <c r="B15" s="57" t="inlineStr">
        <is>
          <t>Криптошлюзы ViPNet (СКЗИ, лиценз. партнёр)</t>
        </is>
      </c>
      <c r="C15" s="79" t="inlineStr">
        <is>
          <t>ИИ-снабженец</t>
        </is>
      </c>
      <c r="D15" s="78" t="n">
        <v>7</v>
      </c>
      <c r="E15" s="78" t="n">
        <v>9</v>
      </c>
      <c r="F15" s="80">
        <f>D15+E15</f>
        <v/>
      </c>
      <c r="G15" s="81" t="n"/>
      <c r="H15" s="82" t="n"/>
      <c r="I15" s="82" t="n"/>
      <c r="J15" s="82" t="n"/>
      <c r="K15" s="82" t="n"/>
      <c r="L15" s="82" t="n"/>
      <c r="M15" s="82" t="n"/>
      <c r="N15" s="82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  <c r="AL15" s="82" t="n"/>
      <c r="AM15" s="82" t="n"/>
      <c r="AN15" s="82" t="n"/>
      <c r="AO15" s="82" t="n"/>
      <c r="AP15" s="82" t="n"/>
      <c r="AQ15" s="82" t="n"/>
      <c r="AR15" s="82" t="n"/>
      <c r="AS15" s="82" t="n"/>
      <c r="AT15" s="82" t="n"/>
      <c r="AU15" s="82" t="n"/>
    </row>
    <row r="16" ht="15" customHeight="1" s="47">
      <c r="A16" s="78" t="n">
        <v>10</v>
      </c>
      <c r="B16" s="57" t="inlineStr">
        <is>
          <t>Опоры металл 133 шт (заводы Урал)</t>
        </is>
      </c>
      <c r="C16" s="79" t="inlineStr">
        <is>
          <t>ИИ-снабженец</t>
        </is>
      </c>
      <c r="D16" s="78" t="n">
        <v>8</v>
      </c>
      <c r="E16" s="78" t="n">
        <v>6</v>
      </c>
      <c r="F16" s="80">
        <f>D16+E16</f>
        <v/>
      </c>
      <c r="G16" s="81" t="inlineStr">
        <is>
          <t>✔</t>
        </is>
      </c>
      <c r="H16" s="82" t="n"/>
      <c r="I16" s="82" t="n"/>
      <c r="J16" s="82" t="n"/>
      <c r="K16" s="82" t="n"/>
      <c r="L16" s="82" t="n"/>
      <c r="M16" s="82" t="n"/>
      <c r="N16" s="82" t="n"/>
      <c r="O16" s="82" t="n"/>
      <c r="P16" s="66" t="n"/>
      <c r="Q16" s="66" t="n"/>
      <c r="R16" s="66" t="n"/>
      <c r="S16" s="66" t="n"/>
      <c r="T16" s="66" t="n"/>
      <c r="U16" s="66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82" t="n"/>
      <c r="AJ16" s="82" t="n"/>
      <c r="AK16" s="82" t="n"/>
      <c r="AL16" s="82" t="n"/>
      <c r="AM16" s="82" t="n"/>
      <c r="AN16" s="82" t="n"/>
      <c r="AO16" s="82" t="n"/>
      <c r="AP16" s="82" t="n"/>
      <c r="AQ16" s="82" t="n"/>
      <c r="AR16" s="82" t="n"/>
      <c r="AS16" s="82" t="n"/>
      <c r="AT16" s="82" t="n"/>
      <c r="AU16" s="82" t="n"/>
    </row>
    <row r="17" ht="15" customHeight="1" s="47">
      <c r="A17" s="78" t="n">
        <v>11</v>
      </c>
      <c r="B17" s="57" t="inlineStr">
        <is>
          <t>СИП-4, ВОК, трубы, заземление</t>
        </is>
      </c>
      <c r="C17" s="79" t="inlineStr">
        <is>
          <t>ИИ-снабженец</t>
        </is>
      </c>
      <c r="D17" s="78" t="n">
        <v>8</v>
      </c>
      <c r="E17" s="78" t="n">
        <v>4</v>
      </c>
      <c r="F17" s="80">
        <f>D17+E17</f>
        <v/>
      </c>
      <c r="G17" s="81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66" t="n"/>
      <c r="Q17" s="66" t="n"/>
      <c r="R17" s="66" t="n"/>
      <c r="S17" s="66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  <c r="AL17" s="82" t="n"/>
      <c r="AM17" s="82" t="n"/>
      <c r="AN17" s="82" t="n"/>
      <c r="AO17" s="82" t="n"/>
      <c r="AP17" s="82" t="n"/>
      <c r="AQ17" s="82" t="n"/>
      <c r="AR17" s="82" t="n"/>
      <c r="AS17" s="82" t="n"/>
      <c r="AT17" s="82" t="n"/>
      <c r="AU17" s="82" t="n"/>
    </row>
    <row r="18" ht="21.75" customHeight="1" s="47">
      <c r="A18" s="78" t="n">
        <v>12</v>
      </c>
      <c r="B18" s="57" t="inlineStr">
        <is>
          <t>Давальческое оборуд. СОТ (поставка заказчика)</t>
        </is>
      </c>
      <c r="C18" s="79" t="inlineStr">
        <is>
          <t>Заказчик</t>
        </is>
      </c>
      <c r="D18" s="78" t="n">
        <v>8</v>
      </c>
      <c r="E18" s="78" t="n">
        <v>10</v>
      </c>
      <c r="F18" s="80">
        <f>D18+E18</f>
        <v/>
      </c>
      <c r="G18" s="81" t="inlineStr">
        <is>
          <t>✔</t>
        </is>
      </c>
      <c r="H18" s="82" t="n"/>
      <c r="I18" s="82" t="n"/>
      <c r="J18" s="82" t="n"/>
      <c r="K18" s="82" t="n"/>
      <c r="L18" s="82" t="n"/>
      <c r="M18" s="82" t="n"/>
      <c r="N18" s="82" t="n"/>
      <c r="O18" s="82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  <c r="AL18" s="82" t="n"/>
      <c r="AM18" s="82" t="n"/>
      <c r="AN18" s="82" t="n"/>
      <c r="AO18" s="82" t="n"/>
      <c r="AP18" s="82" t="n"/>
      <c r="AQ18" s="82" t="n"/>
      <c r="AR18" s="82" t="n"/>
      <c r="AS18" s="82" t="n"/>
      <c r="AT18" s="82" t="n"/>
      <c r="AU18" s="82" t="n"/>
    </row>
    <row r="19" ht="15" customHeight="1" s="47">
      <c r="A19" s="76" t="inlineStr">
        <is>
          <t>ФАЗА 3. СМР ЭОМ (в окна РЖД)</t>
        </is>
      </c>
      <c r="B19" s="52" t="n"/>
      <c r="C19" s="52" t="n"/>
      <c r="D19" s="52" t="n"/>
      <c r="E19" s="52" t="n"/>
      <c r="F19" s="52" t="n"/>
      <c r="G19" s="53" t="n"/>
      <c r="H19" s="77" t="n"/>
      <c r="I19" s="77" t="n"/>
      <c r="J19" s="77" t="n"/>
      <c r="K19" s="77" t="n"/>
      <c r="L19" s="77" t="n"/>
      <c r="M19" s="77" t="n"/>
      <c r="N19" s="77" t="n"/>
      <c r="O19" s="77" t="n"/>
      <c r="P19" s="77" t="n"/>
      <c r="Q19" s="77" t="n"/>
      <c r="R19" s="77" t="n"/>
      <c r="S19" s="77" t="n"/>
      <c r="T19" s="77" t="n"/>
      <c r="U19" s="77" t="n"/>
      <c r="V19" s="77" t="n"/>
      <c r="W19" s="77" t="n"/>
      <c r="X19" s="77" t="n"/>
      <c r="Y19" s="77" t="n"/>
      <c r="Z19" s="77" t="n"/>
      <c r="AA19" s="77" t="n"/>
      <c r="AB19" s="77" t="n"/>
      <c r="AC19" s="77" t="n"/>
      <c r="AD19" s="77" t="n"/>
      <c r="AE19" s="77" t="n"/>
      <c r="AF19" s="77" t="n"/>
      <c r="AG19" s="77" t="n"/>
      <c r="AH19" s="77" t="n"/>
      <c r="AI19" s="77" t="n"/>
      <c r="AJ19" s="77" t="n"/>
      <c r="AK19" s="77" t="n"/>
      <c r="AL19" s="77" t="n"/>
      <c r="AM19" s="77" t="n"/>
      <c r="AN19" s="77" t="n"/>
      <c r="AO19" s="77" t="n"/>
      <c r="AP19" s="77" t="n"/>
      <c r="AQ19" s="77" t="n"/>
      <c r="AR19" s="77" t="n"/>
      <c r="AS19" s="77" t="n"/>
      <c r="AT19" s="77" t="n"/>
      <c r="AU19" s="77" t="n"/>
    </row>
    <row r="20" ht="21.75" customHeight="1" s="47">
      <c r="A20" s="78" t="n">
        <v>13</v>
      </c>
      <c r="B20" s="83" t="inlineStr">
        <is>
          <t>Установка 133 опор + фундаменты (окна РЖД)</t>
        </is>
      </c>
      <c r="C20" s="79" t="inlineStr">
        <is>
          <t>Подряд ЭОМ</t>
        </is>
      </c>
      <c r="D20" s="78" t="n">
        <v>14</v>
      </c>
      <c r="E20" s="78" t="n">
        <v>5</v>
      </c>
      <c r="F20" s="80">
        <f>D20+E20</f>
        <v/>
      </c>
      <c r="G20" s="81" t="inlineStr">
        <is>
          <t>✔</t>
        </is>
      </c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62" t="n"/>
      <c r="W20" s="62" t="n"/>
      <c r="X20" s="62" t="n"/>
      <c r="Y20" s="62" t="n"/>
      <c r="Z20" s="6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  <c r="AL20" s="82" t="n"/>
      <c r="AM20" s="82" t="n"/>
      <c r="AN20" s="82" t="n"/>
      <c r="AO20" s="82" t="n"/>
      <c r="AP20" s="82" t="n"/>
      <c r="AQ20" s="82" t="n"/>
      <c r="AR20" s="82" t="n"/>
      <c r="AS20" s="82" t="n"/>
      <c r="AT20" s="82" t="n"/>
      <c r="AU20" s="82" t="n"/>
    </row>
    <row r="21" ht="15" customHeight="1" s="47">
      <c r="A21" s="78" t="n">
        <v>14</v>
      </c>
      <c r="B21" s="57" t="inlineStr">
        <is>
          <t>ГНБ-проколы под путями (3 шт)</t>
        </is>
      </c>
      <c r="C21" s="79" t="inlineStr">
        <is>
          <t>Спецтехника</t>
        </is>
      </c>
      <c r="D21" s="78" t="n">
        <v>15</v>
      </c>
      <c r="E21" s="78" t="n">
        <v>2</v>
      </c>
      <c r="F21" s="80">
        <f>D21+E21</f>
        <v/>
      </c>
      <c r="G21" s="81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  <c r="W21" s="65" t="n"/>
      <c r="X21" s="65" t="n"/>
      <c r="Y21" s="82" t="n"/>
      <c r="Z21" s="82" t="n"/>
      <c r="AA21" s="82" t="n"/>
      <c r="AB21" s="82" t="n"/>
      <c r="AC21" s="82" t="n"/>
      <c r="AD21" s="82" t="n"/>
      <c r="AE21" s="82" t="n"/>
      <c r="AF21" s="82" t="n"/>
      <c r="AG21" s="82" t="n"/>
      <c r="AH21" s="82" t="n"/>
      <c r="AI21" s="82" t="n"/>
      <c r="AJ21" s="82" t="n"/>
      <c r="AK21" s="82" t="n"/>
      <c r="AL21" s="82" t="n"/>
      <c r="AM21" s="82" t="n"/>
      <c r="AN21" s="82" t="n"/>
      <c r="AO21" s="82" t="n"/>
      <c r="AP21" s="82" t="n"/>
      <c r="AQ21" s="82" t="n"/>
      <c r="AR21" s="82" t="n"/>
      <c r="AS21" s="82" t="n"/>
      <c r="AT21" s="82" t="n"/>
      <c r="AU21" s="82" t="n"/>
    </row>
    <row r="22" ht="21.75" customHeight="1" s="47">
      <c r="A22" s="78" t="n">
        <v>15</v>
      </c>
      <c r="B22" s="83" t="inlineStr">
        <is>
          <t>Подвеска СИП-4 4,96 км, заземление опор</t>
        </is>
      </c>
      <c r="C22" s="79" t="inlineStr">
        <is>
          <t>Подряд ЭОМ</t>
        </is>
      </c>
      <c r="D22" s="78" t="n">
        <v>17</v>
      </c>
      <c r="E22" s="78" t="n">
        <v>4</v>
      </c>
      <c r="F22" s="80">
        <f>D22+E22</f>
        <v/>
      </c>
      <c r="G22" s="81" t="inlineStr">
        <is>
          <t>✔</t>
        </is>
      </c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  <c r="Q22" s="82" t="n"/>
      <c r="R22" s="82" t="n"/>
      <c r="S22" s="82" t="n"/>
      <c r="T22" s="82" t="n"/>
      <c r="U22" s="82" t="n"/>
      <c r="V22" s="82" t="n"/>
      <c r="W22" s="82" t="n"/>
      <c r="X22" s="82" t="n"/>
      <c r="Y22" s="62" t="n"/>
      <c r="Z22" s="62" t="n"/>
      <c r="AA22" s="62" t="n"/>
      <c r="AB22" s="6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  <c r="AL22" s="82" t="n"/>
      <c r="AM22" s="82" t="n"/>
      <c r="AN22" s="82" t="n"/>
      <c r="AO22" s="82" t="n"/>
      <c r="AP22" s="82" t="n"/>
      <c r="AQ22" s="82" t="n"/>
      <c r="AR22" s="82" t="n"/>
      <c r="AS22" s="82" t="n"/>
      <c r="AT22" s="82" t="n"/>
      <c r="AU22" s="82" t="n"/>
    </row>
    <row r="23" ht="15" customHeight="1" s="47">
      <c r="A23" s="78" t="n">
        <v>16</v>
      </c>
      <c r="B23" s="57" t="inlineStr">
        <is>
          <t>Электроснабжение блок-контейнера</t>
        </is>
      </c>
      <c r="C23" s="79" t="inlineStr">
        <is>
          <t>Подряд ЭОМ</t>
        </is>
      </c>
      <c r="D23" s="78" t="n">
        <v>19</v>
      </c>
      <c r="E23" s="78" t="n">
        <v>2</v>
      </c>
      <c r="F23" s="80">
        <f>D23+E23</f>
        <v/>
      </c>
      <c r="G23" s="81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  <c r="Q23" s="82" t="n"/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65" t="n"/>
      <c r="AB23" s="65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  <c r="AL23" s="82" t="n"/>
      <c r="AM23" s="82" t="n"/>
      <c r="AN23" s="82" t="n"/>
      <c r="AO23" s="82" t="n"/>
      <c r="AP23" s="82" t="n"/>
      <c r="AQ23" s="82" t="n"/>
      <c r="AR23" s="82" t="n"/>
      <c r="AS23" s="82" t="n"/>
      <c r="AT23" s="82" t="n"/>
      <c r="AU23" s="82" t="n"/>
    </row>
    <row r="24" ht="15" customHeight="1" s="47">
      <c r="A24" s="76" t="inlineStr">
        <is>
          <t>ФАЗА 4. МОНТАЖ СОТ</t>
        </is>
      </c>
      <c r="B24" s="52" t="n"/>
      <c r="C24" s="52" t="n"/>
      <c r="D24" s="52" t="n"/>
      <c r="E24" s="52" t="n"/>
      <c r="F24" s="52" t="n"/>
      <c r="G24" s="53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</row>
    <row r="25" ht="21.75" customHeight="1" s="47">
      <c r="A25" s="78" t="n">
        <v>17</v>
      </c>
      <c r="B25" s="83" t="inlineStr">
        <is>
          <t>Монтаж 202 камер, РЛС, коммутаторов, СХД</t>
        </is>
      </c>
      <c r="C25" s="79" t="inlineStr">
        <is>
          <t>Парсек (ФСБ)</t>
        </is>
      </c>
      <c r="D25" s="78" t="n">
        <v>21</v>
      </c>
      <c r="E25" s="78" t="n">
        <v>5</v>
      </c>
      <c r="F25" s="80">
        <f>D25+E25</f>
        <v/>
      </c>
      <c r="G25" s="81" t="inlineStr">
        <is>
          <t>✔</t>
        </is>
      </c>
      <c r="H25" s="82" t="n"/>
      <c r="I25" s="82" t="n"/>
      <c r="J25" s="82" t="n"/>
      <c r="K25" s="82" t="n"/>
      <c r="L25" s="82" t="n"/>
      <c r="M25" s="82" t="n"/>
      <c r="N25" s="82" t="n"/>
      <c r="O25" s="82" t="n"/>
      <c r="P25" s="82" t="n"/>
      <c r="Q25" s="82" t="n"/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62" t="n"/>
      <c r="AD25" s="62" t="n"/>
      <c r="AE25" s="62" t="n"/>
      <c r="AF25" s="62" t="n"/>
      <c r="AG25" s="62" t="n"/>
      <c r="AH25" s="82" t="n"/>
      <c r="AI25" s="82" t="n"/>
      <c r="AJ25" s="82" t="n"/>
      <c r="AK25" s="82" t="n"/>
      <c r="AL25" s="82" t="n"/>
      <c r="AM25" s="82" t="n"/>
      <c r="AN25" s="82" t="n"/>
      <c r="AO25" s="82" t="n"/>
      <c r="AP25" s="82" t="n"/>
      <c r="AQ25" s="82" t="n"/>
      <c r="AR25" s="82" t="n"/>
      <c r="AS25" s="82" t="n"/>
      <c r="AT25" s="82" t="n"/>
      <c r="AU25" s="82" t="n"/>
    </row>
    <row r="26" ht="15" customHeight="1" s="47">
      <c r="A26" s="78" t="n">
        <v>18</v>
      </c>
      <c r="B26" s="57" t="inlineStr">
        <is>
          <t>Прокладка ВОЛС, СКС, кроссировка</t>
        </is>
      </c>
      <c r="C26" s="79" t="inlineStr">
        <is>
          <t>Парсек</t>
        </is>
      </c>
      <c r="D26" s="78" t="n">
        <v>22</v>
      </c>
      <c r="E26" s="78" t="n">
        <v>4</v>
      </c>
      <c r="F26" s="80">
        <f>D26+E26</f>
        <v/>
      </c>
      <c r="G26" s="81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65" t="n"/>
      <c r="AE26" s="65" t="n"/>
      <c r="AF26" s="65" t="n"/>
      <c r="AG26" s="65" t="n"/>
      <c r="AH26" s="82" t="n"/>
      <c r="AI26" s="82" t="n"/>
      <c r="AJ26" s="82" t="n"/>
      <c r="AK26" s="82" t="n"/>
      <c r="AL26" s="82" t="n"/>
      <c r="AM26" s="82" t="n"/>
      <c r="AN26" s="82" t="n"/>
      <c r="AO26" s="82" t="n"/>
      <c r="AP26" s="82" t="n"/>
      <c r="AQ26" s="82" t="n"/>
      <c r="AR26" s="82" t="n"/>
      <c r="AS26" s="82" t="n"/>
      <c r="AT26" s="82" t="n"/>
      <c r="AU26" s="82" t="n"/>
    </row>
    <row r="27" ht="15" customHeight="1" s="47">
      <c r="A27" s="78" t="n">
        <v>19</v>
      </c>
      <c r="B27" s="57" t="inlineStr">
        <is>
          <t>Монтаж криптошлюзов, серверов</t>
        </is>
      </c>
      <c r="C27" s="79" t="inlineStr">
        <is>
          <t>Парсек</t>
        </is>
      </c>
      <c r="D27" s="78" t="n">
        <v>24</v>
      </c>
      <c r="E27" s="78" t="n">
        <v>2</v>
      </c>
      <c r="F27" s="80">
        <f>D27+E27</f>
        <v/>
      </c>
      <c r="G27" s="81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65" t="n"/>
      <c r="AG27" s="65" t="n"/>
      <c r="AH27" s="82" t="n"/>
      <c r="AI27" s="82" t="n"/>
      <c r="AJ27" s="82" t="n"/>
      <c r="AK27" s="82" t="n"/>
      <c r="AL27" s="82" t="n"/>
      <c r="AM27" s="82" t="n"/>
      <c r="AN27" s="82" t="n"/>
      <c r="AO27" s="82" t="n"/>
      <c r="AP27" s="82" t="n"/>
      <c r="AQ27" s="82" t="n"/>
      <c r="AR27" s="82" t="n"/>
      <c r="AS27" s="82" t="n"/>
      <c r="AT27" s="82" t="n"/>
      <c r="AU27" s="82" t="n"/>
    </row>
    <row r="28" ht="15" customHeight="1" s="47">
      <c r="A28" s="76" t="inlineStr">
        <is>
          <t>ФАЗА 5. ПУСКОНАЛАДКА</t>
        </is>
      </c>
      <c r="B28" s="52" t="n"/>
      <c r="C28" s="52" t="n"/>
      <c r="D28" s="52" t="n"/>
      <c r="E28" s="52" t="n"/>
      <c r="F28" s="52" t="n"/>
      <c r="G28" s="53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</row>
    <row r="29" ht="21.75" customHeight="1" s="47">
      <c r="A29" s="78" t="n">
        <v>20</v>
      </c>
      <c r="B29" s="83" t="inlineStr">
        <is>
          <t>Пусконаладка СОТ + электроизмерения ЭТЛ</t>
        </is>
      </c>
      <c r="C29" s="79" t="inlineStr">
        <is>
          <t>Парсек/ЭТЛ</t>
        </is>
      </c>
      <c r="D29" s="78" t="n">
        <v>26</v>
      </c>
      <c r="E29" s="78" t="n">
        <v>3</v>
      </c>
      <c r="F29" s="80">
        <f>D29+E29</f>
        <v/>
      </c>
      <c r="G29" s="81" t="inlineStr">
        <is>
          <t>✔</t>
        </is>
      </c>
      <c r="H29" s="82" t="n"/>
      <c r="I29" s="82" t="n"/>
      <c r="J29" s="82" t="n"/>
      <c r="K29" s="82" t="n"/>
      <c r="L29" s="82" t="n"/>
      <c r="M29" s="82" t="n"/>
      <c r="N29" s="82" t="n"/>
      <c r="O29" s="82" t="n"/>
      <c r="P29" s="82" t="n"/>
      <c r="Q29" s="82" t="n"/>
      <c r="R29" s="82" t="n"/>
      <c r="S29" s="82" t="n"/>
      <c r="T29" s="82" t="n"/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62" t="n"/>
      <c r="AI29" s="62" t="n"/>
      <c r="AJ29" s="62" t="n"/>
      <c r="AK29" s="82" t="n"/>
      <c r="AL29" s="82" t="n"/>
      <c r="AM29" s="82" t="n"/>
      <c r="AN29" s="82" t="n"/>
      <c r="AO29" s="82" t="n"/>
      <c r="AP29" s="82" t="n"/>
      <c r="AQ29" s="82" t="n"/>
      <c r="AR29" s="82" t="n"/>
      <c r="AS29" s="82" t="n"/>
      <c r="AT29" s="82" t="n"/>
      <c r="AU29" s="82" t="n"/>
    </row>
    <row r="30" ht="15" customHeight="1" s="47">
      <c r="A30" s="78" t="n">
        <v>21</v>
      </c>
      <c r="B30" s="57" t="inlineStr">
        <is>
          <t>Оптические измерения ВОЛС</t>
        </is>
      </c>
      <c r="C30" s="79" t="inlineStr">
        <is>
          <t>Привлечённая организация</t>
        </is>
      </c>
      <c r="D30" s="78" t="n">
        <v>27</v>
      </c>
      <c r="E30" s="78" t="n">
        <v>1</v>
      </c>
      <c r="F30" s="80">
        <f>D30+E30</f>
        <v/>
      </c>
      <c r="G30" s="81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65" t="n"/>
      <c r="AJ30" s="82" t="n"/>
      <c r="AK30" s="82" t="n"/>
      <c r="AL30" s="82" t="n"/>
      <c r="AM30" s="82" t="n"/>
      <c r="AN30" s="82" t="n"/>
      <c r="AO30" s="82" t="n"/>
      <c r="AP30" s="82" t="n"/>
      <c r="AQ30" s="82" t="n"/>
      <c r="AR30" s="82" t="n"/>
      <c r="AS30" s="82" t="n"/>
      <c r="AT30" s="82" t="n"/>
      <c r="AU30" s="82" t="n"/>
    </row>
    <row r="31" ht="15" customHeight="1" s="47">
      <c r="A31" s="76" t="inlineStr">
        <is>
          <t>ФАЗА 6. РЕЖИМ ФСБ (блокеры ввода)</t>
        </is>
      </c>
      <c r="B31" s="52" t="n"/>
      <c r="C31" s="52" t="n"/>
      <c r="D31" s="52" t="n"/>
      <c r="E31" s="52" t="n"/>
      <c r="F31" s="52" t="n"/>
      <c r="G31" s="53" t="n"/>
      <c r="H31" s="77" t="n"/>
      <c r="I31" s="77" t="n"/>
      <c r="J31" s="77" t="n"/>
      <c r="K31" s="77" t="n"/>
      <c r="L31" s="77" t="n"/>
      <c r="M31" s="77" t="n"/>
      <c r="N31" s="77" t="n"/>
      <c r="O31" s="77" t="n"/>
      <c r="P31" s="77" t="n"/>
      <c r="Q31" s="77" t="n"/>
      <c r="R31" s="77" t="n"/>
      <c r="S31" s="7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77" t="n"/>
      <c r="AH31" s="77" t="n"/>
      <c r="AI31" s="77" t="n"/>
      <c r="AJ31" s="77" t="n"/>
      <c r="AK31" s="77" t="n"/>
      <c r="AL31" s="77" t="n"/>
      <c r="AM31" s="77" t="n"/>
      <c r="AN31" s="77" t="n"/>
      <c r="AO31" s="77" t="n"/>
      <c r="AP31" s="77" t="n"/>
      <c r="AQ31" s="77" t="n"/>
      <c r="AR31" s="77" t="n"/>
      <c r="AS31" s="77" t="n"/>
      <c r="AT31" s="77" t="n"/>
      <c r="AU31" s="77" t="n"/>
    </row>
    <row r="32" ht="21.75" customHeight="1" s="47">
      <c r="A32" s="78" t="n">
        <v>22</v>
      </c>
      <c r="B32" s="57" t="inlineStr">
        <is>
          <t>Спецпроверки и специсследования (СП и СИ)</t>
        </is>
      </c>
      <c r="C32" s="79" t="inlineStr">
        <is>
          <t>Лиценз. ФСБ</t>
        </is>
      </c>
      <c r="D32" s="78" t="n">
        <v>28</v>
      </c>
      <c r="E32" s="78" t="n">
        <v>2</v>
      </c>
      <c r="F32" s="80">
        <f>D32+E32</f>
        <v/>
      </c>
      <c r="G32" s="81" t="inlineStr">
        <is>
          <t>✔</t>
        </is>
      </c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67" t="n"/>
      <c r="AK32" s="67" t="n"/>
      <c r="AL32" s="82" t="n"/>
      <c r="AM32" s="82" t="n"/>
      <c r="AN32" s="82" t="n"/>
      <c r="AO32" s="82" t="n"/>
      <c r="AP32" s="82" t="n"/>
      <c r="AQ32" s="82" t="n"/>
      <c r="AR32" s="82" t="n"/>
      <c r="AS32" s="82" t="n"/>
      <c r="AT32" s="82" t="n"/>
      <c r="AU32" s="82" t="n"/>
    </row>
    <row r="33" ht="21.75" customHeight="1" s="47">
      <c r="A33" s="78" t="n">
        <v>23</v>
      </c>
      <c r="B33" s="57" t="inlineStr">
        <is>
          <t>Аттестация объекта информатизации (ФСТЭК-77)</t>
        </is>
      </c>
      <c r="C33" s="79" t="inlineStr">
        <is>
          <t>Лиценз. ФСТЭК</t>
        </is>
      </c>
      <c r="D33" s="78" t="n">
        <v>29</v>
      </c>
      <c r="E33" s="78" t="n">
        <v>3</v>
      </c>
      <c r="F33" s="80">
        <f>D33+E33</f>
        <v/>
      </c>
      <c r="G33" s="81" t="inlineStr">
        <is>
          <t>✔</t>
        </is>
      </c>
      <c r="H33" s="82" t="n"/>
      <c r="I33" s="82" t="n"/>
      <c r="J33" s="82" t="n"/>
      <c r="K33" s="82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67" t="n"/>
      <c r="AL33" s="67" t="n"/>
      <c r="AM33" s="67" t="n"/>
      <c r="AN33" s="82" t="n"/>
      <c r="AO33" s="82" t="n"/>
      <c r="AP33" s="82" t="n"/>
      <c r="AQ33" s="82" t="n"/>
      <c r="AR33" s="82" t="n"/>
      <c r="AS33" s="82" t="n"/>
      <c r="AT33" s="82" t="n"/>
      <c r="AU33" s="82" t="n"/>
    </row>
    <row r="34" ht="15" customHeight="1" s="47">
      <c r="A34" s="76" t="inlineStr">
        <is>
          <t>ФАЗА 7. ИД, ПРИЁМКА, ВВОД</t>
        </is>
      </c>
      <c r="B34" s="52" t="n"/>
      <c r="C34" s="52" t="n"/>
      <c r="D34" s="52" t="n"/>
      <c r="E34" s="52" t="n"/>
      <c r="F34" s="52" t="n"/>
      <c r="G34" s="53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</row>
    <row r="35" ht="21.75" customHeight="1" s="47">
      <c r="A35" s="78" t="n">
        <v>24</v>
      </c>
      <c r="B35" s="57" t="inlineStr">
        <is>
          <t>Комплектация исполнительной документации</t>
        </is>
      </c>
      <c r="C35" s="79" t="inlineStr">
        <is>
          <t>ИИ-ПТО</t>
        </is>
      </c>
      <c r="D35" s="78" t="n">
        <v>26</v>
      </c>
      <c r="E35" s="78" t="n">
        <v>6</v>
      </c>
      <c r="F35" s="80">
        <f>D35+E35</f>
        <v/>
      </c>
      <c r="G35" s="81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2" t="n"/>
      <c r="Q35" s="82" t="n"/>
      <c r="R35" s="82" t="n"/>
      <c r="S35" s="82" t="n"/>
      <c r="T35" s="82" t="n"/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65" t="n"/>
      <c r="AI35" s="65" t="n"/>
      <c r="AJ35" s="65" t="n"/>
      <c r="AK35" s="65" t="n"/>
      <c r="AL35" s="65" t="n"/>
      <c r="AM35" s="65" t="n"/>
      <c r="AN35" s="82" t="n"/>
      <c r="AO35" s="82" t="n"/>
      <c r="AP35" s="82" t="n"/>
      <c r="AQ35" s="82" t="n"/>
      <c r="AR35" s="82" t="n"/>
      <c r="AS35" s="82" t="n"/>
      <c r="AT35" s="82" t="n"/>
      <c r="AU35" s="82" t="n"/>
    </row>
    <row r="36" ht="21.75" customHeight="1" s="47">
      <c r="A36" s="78" t="n">
        <v>25</v>
      </c>
      <c r="B36" s="83" t="inlineStr">
        <is>
          <t>Приёмка комиссией с участием ФСБ, ввод</t>
        </is>
      </c>
      <c r="C36" s="79" t="inlineStr">
        <is>
          <t>ГП/ФСБ</t>
        </is>
      </c>
      <c r="D36" s="78" t="n">
        <v>31</v>
      </c>
      <c r="E36" s="78" t="n">
        <v>2</v>
      </c>
      <c r="F36" s="80">
        <f>D36+E36</f>
        <v/>
      </c>
      <c r="G36" s="81" t="inlineStr">
        <is>
          <t>✔</t>
        </is>
      </c>
      <c r="H36" s="82" t="n"/>
      <c r="I36" s="82" t="n"/>
      <c r="J36" s="82" t="n"/>
      <c r="K36" s="82" t="n"/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  <c r="AL36" s="82" t="n"/>
      <c r="AM36" s="62" t="n"/>
      <c r="AN36" s="62" t="n"/>
      <c r="AO36" s="82" t="n"/>
      <c r="AP36" s="82" t="n"/>
      <c r="AQ36" s="82" t="n"/>
      <c r="AR36" s="82" t="n"/>
      <c r="AS36" s="82" t="n"/>
      <c r="AT36" s="82" t="n"/>
      <c r="AU36" s="82" t="n"/>
    </row>
    <row r="37" ht="15" customHeight="1" s="47">
      <c r="A37" s="76" t="inlineStr">
        <is>
          <t>БУФЕР ПРОЕКТА</t>
        </is>
      </c>
      <c r="B37" s="52" t="n"/>
      <c r="C37" s="52" t="n"/>
      <c r="D37" s="52" t="n"/>
      <c r="E37" s="52" t="n"/>
      <c r="F37" s="52" t="n"/>
      <c r="G37" s="53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7" t="n"/>
      <c r="Q37" s="77" t="n"/>
      <c r="R37" s="77" t="n"/>
      <c r="S37" s="77" t="n"/>
      <c r="T37" s="77" t="n"/>
      <c r="U37" s="77" t="n"/>
      <c r="V37" s="77" t="n"/>
      <c r="W37" s="77" t="n"/>
      <c r="X37" s="77" t="n"/>
      <c r="Y37" s="77" t="n"/>
      <c r="Z37" s="77" t="n"/>
      <c r="AA37" s="77" t="n"/>
      <c r="AB37" s="77" t="n"/>
      <c r="AC37" s="77" t="n"/>
      <c r="AD37" s="77" t="n"/>
      <c r="AE37" s="77" t="n"/>
      <c r="AF37" s="77" t="n"/>
      <c r="AG37" s="77" t="n"/>
      <c r="AH37" s="77" t="n"/>
      <c r="AI37" s="77" t="n"/>
      <c r="AJ37" s="77" t="n"/>
      <c r="AK37" s="77" t="n"/>
      <c r="AL37" s="77" t="n"/>
      <c r="AM37" s="77" t="n"/>
      <c r="AN37" s="77" t="n"/>
      <c r="AO37" s="77" t="n"/>
      <c r="AP37" s="77" t="n"/>
      <c r="AQ37" s="77" t="n"/>
      <c r="AR37" s="77" t="n"/>
      <c r="AS37" s="77" t="n"/>
      <c r="AT37" s="77" t="n"/>
      <c r="AU37" s="77" t="n"/>
    </row>
    <row r="38" ht="21.75" customHeight="1" s="47">
      <c r="A38" s="78" t="n">
        <v>26</v>
      </c>
      <c r="B38" s="57" t="inlineStr">
        <is>
          <t>Резерв на риски-переделы (окна, поставки)</t>
        </is>
      </c>
      <c r="C38" s="79" t="inlineStr">
        <is>
          <t>ИИ-руководитель проекта</t>
        </is>
      </c>
      <c r="D38" s="78" t="n">
        <v>30</v>
      </c>
      <c r="E38" s="78" t="n">
        <v>3</v>
      </c>
      <c r="F38" s="80">
        <f>D38+E38</f>
        <v/>
      </c>
      <c r="G38" s="81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68" t="n"/>
      <c r="AM38" s="68" t="n"/>
      <c r="AN38" s="68" t="n"/>
      <c r="AO38" s="82" t="n"/>
      <c r="AP38" s="82" t="n"/>
      <c r="AQ38" s="82" t="n"/>
      <c r="AR38" s="82" t="n"/>
      <c r="AS38" s="82" t="n"/>
      <c r="AT38" s="82" t="n"/>
      <c r="AU38" s="82" t="n"/>
    </row>
    <row r="40" ht="15" customHeight="1" s="47">
      <c r="B40" s="84" t="inlineStr">
        <is>
          <t>РАСЧЁТ СРОКА (базовый сценарий):</t>
        </is>
      </c>
    </row>
    <row r="41" ht="15" customHeight="1" s="47">
      <c r="B41" s="85" t="inlineStr">
        <is>
          <t>Ввод объекта — неделя</t>
        </is>
      </c>
      <c r="F41" s="86">
        <f>MAX(F4:F38)</f>
        <v/>
      </c>
    </row>
    <row r="42" ht="15" customHeight="1" s="47">
      <c r="B42" s="85" t="inlineStr">
        <is>
          <t>в месяцах (делить на 4,33)</t>
        </is>
      </c>
      <c r="F42" s="87">
        <f>ROUND(F41/4.33,1)</f>
        <v/>
      </c>
    </row>
    <row r="44" ht="15" customHeight="1" s="47">
      <c r="B44" s="88" t="inlineStr">
        <is>
          <t>Критический путь: запросы→ответы→договор→ПОС/акт-допуск→опоры→СИП→монтаж СОТ→ПНР→спецпроверки→аттестация→ввод</t>
        </is>
      </c>
    </row>
  </sheetData>
  <mergeCells count="22">
    <mergeCell ref="A14:G14"/>
    <mergeCell ref="A4:G4"/>
    <mergeCell ref="AR2:AU2"/>
    <mergeCell ref="B44:G44"/>
    <mergeCell ref="A19:G19"/>
    <mergeCell ref="A28:G28"/>
    <mergeCell ref="A31:G31"/>
    <mergeCell ref="A34:G34"/>
    <mergeCell ref="L2:O2"/>
    <mergeCell ref="A24:G24"/>
    <mergeCell ref="X2:AA2"/>
    <mergeCell ref="AJ2:AM2"/>
    <mergeCell ref="A1:G1"/>
    <mergeCell ref="H1:AU1"/>
    <mergeCell ref="A7:G7"/>
    <mergeCell ref="P2:S2"/>
    <mergeCell ref="A37:G37"/>
    <mergeCell ref="H2:K2"/>
    <mergeCell ref="T2:W2"/>
    <mergeCell ref="AB2:AE2"/>
    <mergeCell ref="AF2:AI2"/>
    <mergeCell ref="AN2:AQ2"/>
  </mergeCells>
  <printOptions horizontalCentered="0" verticalCentered="0" headings="0" gridLines="0" gridLinesSet="1"/>
  <pageMargins left="0.2" right="0.2" top="0.3" bottom="0.3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2:G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6" min="1" max="1"/>
    <col width="5" customWidth="1" style="46" min="2" max="2"/>
    <col width="34" customWidth="1" style="46" min="3" max="3"/>
    <col width="12" customWidth="1" style="46" min="4" max="4"/>
    <col width="10" customWidth="1" style="46" min="5" max="5"/>
    <col width="14" customWidth="1" style="46" min="6" max="6"/>
    <col width="30" customWidth="1" style="46" min="7" max="7"/>
  </cols>
  <sheetData>
    <row r="2" ht="15.75" customHeight="1" s="47">
      <c r="B2" s="89" t="inlineStr">
        <is>
          <t>РЕЕСТР РИСКОВ-ЗАДЕРЖЕК (влияние на срок)</t>
        </is>
      </c>
    </row>
    <row r="3" ht="15" customHeight="1" s="47">
      <c r="B3" s="90" t="inlineStr">
        <is>
          <t>Каждый риск — в неделях задержки. Заложены в буфер проекта и пессимистичный сценарий.</t>
        </is>
      </c>
    </row>
    <row r="5" ht="23.25" customHeight="1" s="47">
      <c r="B5" s="91" t="inlineStr">
        <is>
          <t>#</t>
        </is>
      </c>
      <c r="C5" s="91" t="inlineStr">
        <is>
          <t>Риск задержки</t>
        </is>
      </c>
      <c r="D5" s="91" t="inlineStr">
        <is>
          <t>Вероятн.</t>
        </is>
      </c>
      <c r="E5" s="91" t="inlineStr">
        <is>
          <t>Задержка, нед</t>
        </is>
      </c>
      <c r="F5" s="91" t="inlineStr">
        <is>
          <t>Влияние</t>
        </is>
      </c>
      <c r="G5" s="91" t="inlineStr">
        <is>
          <t>Мера / кто держит</t>
        </is>
      </c>
    </row>
    <row r="6" ht="21.75" customHeight="1" s="47">
      <c r="B6" s="80" t="n">
        <v>1</v>
      </c>
      <c r="C6" s="57" t="inlineStr">
        <is>
          <t>Заказчик/РЖД долго отвечают на запросы (контрольная точка)</t>
        </is>
      </c>
      <c r="D6" s="78" t="inlineStr">
        <is>
          <t>Высокая</t>
        </is>
      </c>
      <c r="E6" s="78" t="inlineStr">
        <is>
          <t>+2…6</t>
        </is>
      </c>
      <c r="F6" s="78" t="inlineStr">
        <is>
          <t>🔴 сдвиг Т0</t>
        </is>
      </c>
      <c r="G6" s="57" t="inlineStr">
        <is>
          <t>Ранняя эскалация, письменные сроки — ИИ-договорник</t>
        </is>
      </c>
    </row>
    <row r="7" ht="21.75" customHeight="1" s="47">
      <c r="B7" s="80" t="n">
        <v>2</v>
      </c>
      <c r="C7" s="57" t="inlineStr">
        <is>
          <t>Срыв давальческой поставки оборудования СОТ</t>
        </is>
      </c>
      <c r="D7" s="78" t="inlineStr">
        <is>
          <t>Средняя</t>
        </is>
      </c>
      <c r="E7" s="78" t="inlineStr">
        <is>
          <t>+2…8</t>
        </is>
      </c>
      <c r="F7" s="78" t="inlineStr">
        <is>
          <t>🔴 крит.путь</t>
        </is>
      </c>
      <c r="G7" s="57" t="inlineStr">
        <is>
          <t>Зафиксировать сроки поставки заказчика в договоре</t>
        </is>
      </c>
    </row>
    <row r="8" ht="21.75" customHeight="1" s="47">
      <c r="B8" s="80" t="n">
        <v>3</v>
      </c>
      <c r="C8" s="57" t="inlineStr">
        <is>
          <t>Задержка допусков к гостайне</t>
        </is>
      </c>
      <c r="D8" s="78" t="inlineStr">
        <is>
          <t>Высокая</t>
        </is>
      </c>
      <c r="E8" s="78" t="inlineStr">
        <is>
          <t>+2…6</t>
        </is>
      </c>
      <c r="F8" s="78" t="inlineStr">
        <is>
          <t>🟡 параллельно</t>
        </is>
      </c>
      <c r="G8" s="57" t="inlineStr">
        <is>
          <t>Стартовать оформление в неделю 6, не позже</t>
        </is>
      </c>
    </row>
    <row r="9" ht="21.75" customHeight="1" s="47">
      <c r="B9" s="80" t="n">
        <v>4</v>
      </c>
      <c r="C9" s="57" t="inlineStr">
        <is>
          <t>Простои по «окнам» РЖД (монтаж у путей)</t>
        </is>
      </c>
      <c r="D9" s="78" t="inlineStr">
        <is>
          <t>Высокая</t>
        </is>
      </c>
      <c r="E9" s="78" t="inlineStr">
        <is>
          <t>+2…5</t>
        </is>
      </c>
      <c r="F9" s="78" t="inlineStr">
        <is>
          <t>🔴 крит.путь</t>
        </is>
      </c>
      <c r="G9" s="57" t="inlineStr">
        <is>
          <t>Риск заказчика в договоре; заявка на окна заранее</t>
        </is>
      </c>
    </row>
    <row r="10" ht="21.75" customHeight="1" s="47">
      <c r="B10" s="80" t="n">
        <v>5</v>
      </c>
      <c r="C10" s="57" t="inlineStr">
        <is>
          <t>Опоры/металл — длинный срок поставки заводов</t>
        </is>
      </c>
      <c r="D10" s="78" t="inlineStr">
        <is>
          <t>Средняя</t>
        </is>
      </c>
      <c r="E10" s="78" t="inlineStr">
        <is>
          <t>+1…3</t>
        </is>
      </c>
      <c r="F10" s="78" t="inlineStr">
        <is>
          <t>🟡 поставка</t>
        </is>
      </c>
      <c r="G10" s="57" t="inlineStr">
        <is>
          <t>Разместить заказ в неделю 8; плечо Урал</t>
        </is>
      </c>
    </row>
    <row r="11" ht="21.75" customHeight="1" s="47">
      <c r="B11" s="80" t="n">
        <v>6</v>
      </c>
      <c r="C11" s="57" t="inlineStr">
        <is>
          <t>Аттестация ФСТЭК затягивается</t>
        </is>
      </c>
      <c r="D11" s="78" t="inlineStr">
        <is>
          <t>Средняя</t>
        </is>
      </c>
      <c r="E11" s="78" t="inlineStr">
        <is>
          <t>+1…4</t>
        </is>
      </c>
      <c r="F11" s="78" t="inlineStr">
        <is>
          <t>🔴 блокер ввода</t>
        </is>
      </c>
      <c r="G11" s="57" t="inlineStr">
        <is>
          <t>Уточнить объём и лицензиата заранее — ИИ-ПТО</t>
        </is>
      </c>
    </row>
    <row r="12" ht="21.75" customHeight="1" s="47">
      <c r="B12" s="80" t="n">
        <v>7</v>
      </c>
      <c r="C12" s="57" t="inlineStr">
        <is>
          <t>Возврат актов из-за неполной ИД</t>
        </is>
      </c>
      <c r="D12" s="78" t="inlineStr">
        <is>
          <t>Средняя</t>
        </is>
      </c>
      <c r="E12" s="78" t="inlineStr">
        <is>
          <t>+1…3</t>
        </is>
      </c>
      <c r="F12" s="78" t="inlineStr">
        <is>
          <t>🟡 КС-2</t>
        </is>
      </c>
      <c r="G12" s="57" t="inlineStr">
        <is>
          <t>Электролаборатория с аккредитацией; ИД по ходу</t>
        </is>
      </c>
    </row>
    <row r="13" ht="21.75" customHeight="1" s="47">
      <c r="B13" s="80" t="n">
        <v>8</v>
      </c>
      <c r="C13" s="57" t="inlineStr">
        <is>
          <t>Зимний период (Курган −40°C)</t>
        </is>
      </c>
      <c r="D13" s="78" t="inlineStr">
        <is>
          <t>Высокая</t>
        </is>
      </c>
      <c r="E13" s="78" t="inlineStr">
        <is>
          <t>+1…4</t>
        </is>
      </c>
      <c r="F13" s="78" t="inlineStr">
        <is>
          <t>🟡 монтаж</t>
        </is>
      </c>
      <c r="G13" s="57" t="inlineStr">
        <is>
          <t>Планировать СМР вне пика морозов; конвекторы</t>
        </is>
      </c>
    </row>
    <row r="14" ht="21.75" customHeight="1" s="47">
      <c r="B14" s="80" t="n">
        <v>9</v>
      </c>
      <c r="C14" s="57" t="inlineStr">
        <is>
          <t>Реиндекс/удорожание при затяжке</t>
        </is>
      </c>
      <c r="D14" s="78" t="inlineStr">
        <is>
          <t>Средняя</t>
        </is>
      </c>
      <c r="E14" s="78" t="inlineStr">
        <is>
          <t>—</t>
        </is>
      </c>
      <c r="F14" s="78" t="inlineStr">
        <is>
          <t>🟡 бюджет</t>
        </is>
      </c>
      <c r="G14" s="57" t="inlineStr">
        <is>
          <t>Индексация цены в договоре — ИИ-сметчик/ИИ-договорник</t>
        </is>
      </c>
    </row>
    <row r="16" ht="15" customHeight="1" s="47">
      <c r="B16" s="60" t="inlineStr">
        <is>
          <t>ИТОГ: сумма вероятных задержек по критическому пути ≈ 8-10 недель → база 22 нед превращается в реалистичные 30 и пессимистичные 40+.</t>
        </is>
      </c>
    </row>
  </sheetData>
  <mergeCells count="1">
    <mergeCell ref="B16:G1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B2: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6" min="1" max="1"/>
    <col width="38" customWidth="1" style="46" min="2" max="2"/>
    <col width="20" customWidth="1" style="46" min="3" max="3"/>
    <col width="40" customWidth="1" style="46" min="4" max="4"/>
  </cols>
  <sheetData>
    <row r="2" ht="15.75" customHeight="1" s="47">
      <c r="B2" s="89" t="inlineStr">
        <is>
          <t>ПЕРЕДЕЛЫ РАБОТ И ДОПУЩЕНИЯ ГРАФИКА</t>
        </is>
      </c>
    </row>
    <row r="3" ht="15" customHeight="1" s="47">
      <c r="B3" s="90" t="inlineStr">
        <is>
          <t>Что заложено в план и от чего он пересчитывается</t>
        </is>
      </c>
    </row>
    <row r="5" ht="15" customHeight="1" s="47">
      <c r="B5" s="92" t="inlineStr">
        <is>
          <t>Фактор / передел</t>
        </is>
      </c>
      <c r="C5" s="92" t="inlineStr">
        <is>
          <t>Статус</t>
        </is>
      </c>
      <c r="D5" s="92" t="inlineStr">
        <is>
          <t>Как учтено в графике</t>
        </is>
      </c>
    </row>
    <row r="6" ht="21.75" customHeight="1" s="47">
      <c r="B6" s="83" t="inlineStr">
        <is>
          <t>Т0 (дата договора) не задана</t>
        </is>
      </c>
      <c r="C6" s="78" t="inlineStr">
        <is>
          <t>🔴 допущение</t>
        </is>
      </c>
      <c r="D6" s="57" t="inlineStr">
        <is>
          <t>Весь график в неделях ОТ Т0. Абсолютные даты — после подписания</t>
        </is>
      </c>
    </row>
    <row r="7" ht="21.75" customHeight="1" s="47">
      <c r="B7" s="83" t="inlineStr">
        <is>
          <t>Срок производства работ в ПД отсутствует</t>
        </is>
      </c>
      <c r="C7" s="78" t="inlineStr">
        <is>
          <t>🔴 допущение</t>
        </is>
      </c>
      <c r="D7" s="57" t="inlineStr">
        <is>
          <t>Длительности — по типовым нормам монтажа систем + окна РЖД</t>
        </is>
      </c>
    </row>
    <row r="8" ht="21.75" customHeight="1" s="47">
      <c r="B8" s="83" t="inlineStr">
        <is>
          <t>Блок «выноса КС» исключён (воздух)</t>
        </is>
      </c>
      <c r="C8" s="78" t="inlineStr">
        <is>
          <t>✅ решено</t>
        </is>
      </c>
      <c r="D8" s="57" t="inlineStr">
        <is>
          <t>Работ по 200 км выноса КС в графике НЕТ — только 3 поперечины П-перехода</t>
        </is>
      </c>
    </row>
    <row r="9" ht="21.75" customHeight="1" s="47">
      <c r="B9" s="83" t="inlineStr">
        <is>
          <t>Если РЖД подтвердит реальный вынос КС</t>
        </is>
      </c>
      <c r="C9" s="78" t="inlineStr">
        <is>
          <t>🟡 передел</t>
        </is>
      </c>
      <c r="D9" s="57" t="inlineStr">
        <is>
          <t>+отдельный этап силами ЭЧ РЖД в окна: +4…8 недель к сроку</t>
        </is>
      </c>
    </row>
    <row r="10" ht="21.75" customHeight="1" s="47">
      <c r="B10" s="83" t="inlineStr">
        <is>
          <t>Оборудование СОТ — давальческое</t>
        </is>
      </c>
      <c r="C10" s="78" t="inlineStr">
        <is>
          <t>🟡 допущение</t>
        </is>
      </c>
      <c r="D10" s="57" t="inlineStr">
        <is>
          <t>Монтаж СОТ стартует ПОСЛЕ поставки заказчика (неделя 18). Срыв = сдвиг</t>
        </is>
      </c>
    </row>
    <row r="11" ht="21.75" customHeight="1" s="47">
      <c r="B11" s="83" t="inlineStr">
        <is>
          <t>Если оборудование окажется нашим</t>
        </is>
      </c>
      <c r="C11" s="78" t="inlineStr">
        <is>
          <t>🟡 передел</t>
        </is>
      </c>
      <c r="D11" s="57" t="inlineStr">
        <is>
          <t>+тендер режимного поставщика +8…16 нед срока поставки → срок +6…10 нед</t>
        </is>
      </c>
    </row>
    <row r="12" ht="21.75" customHeight="1" s="47">
      <c r="B12" s="83" t="inlineStr">
        <is>
          <t>Допуски к гостайне</t>
        </is>
      </c>
      <c r="C12" s="78" t="inlineStr">
        <is>
          <t>🟡 параллельно</t>
        </is>
      </c>
      <c r="D12" s="57" t="inlineStr">
        <is>
          <t>Идут с недели 6, 10 недель. Если не готовы к монтажу СОТ — простой</t>
        </is>
      </c>
    </row>
    <row r="13" ht="21.75" customHeight="1" s="47">
      <c r="B13" s="83" t="inlineStr">
        <is>
          <t>Самовыполнение ЭОМ</t>
        </is>
      </c>
      <c r="C13" s="78" t="inlineStr">
        <is>
          <t>✅ база</t>
        </is>
      </c>
      <c r="D13" s="57" t="inlineStr">
        <is>
          <t>Заложено своими бригадами (рычаг маржи). При субподряде срок тот же</t>
        </is>
      </c>
    </row>
    <row r="14" ht="21.75" customHeight="1" s="47">
      <c r="B14" s="83" t="inlineStr">
        <is>
          <t>Зимний период</t>
        </is>
      </c>
      <c r="C14" s="78" t="inlineStr">
        <is>
          <t>🟡 сезон</t>
        </is>
      </c>
      <c r="D14" s="57" t="inlineStr">
        <is>
          <t>Буфер +3 недели заложен; СМР планировать вне пика морозов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2026-08-03T19:18:20Z</dcterms:created>
  <dcterms:modified xmlns:dcterms="http://purl.org/dc/terms/" xmlns:xsi="http://www.w3.org/2001/XMLSchema-instance" xsi:type="dcterms:W3CDTF">2026-08-03T19:19:44Z</dcterms:modified>
  <cp:revision>0</cp:revision>
</cp:coreProperties>
</file>