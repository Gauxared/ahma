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 базе" sheetId="1" state="visible" r:id="rId3"/>
    <sheet name="Материалы" sheetId="2" state="visible" r:id="rId4"/>
    <sheet name="Оборудование" sheetId="3" state="visible" r:id="rId5"/>
    <sheet name="Ставки монтажа" sheetId="4" state="visible" r:id="rId6"/>
    <sheet name="Структура себестоимости" sheetId="5" state="visible" r:id="rId7"/>
    <sheet name="Поставщики УрФО" sheetId="6" state="visible" r:id="rId8"/>
    <sheet name="Нормбаза сетей" sheetId="7" state="visible" r:id="rId9"/>
    <sheet name="Реестр объектов" sheetId="8" state="visible" r:id="rId10"/>
    <sheet name="Уроки и алгоритмы" sheetId="9" state="visible" r:id="rId11"/>
    <sheet name="Новотэкс — позиции (факт)" sheetId="10" state="visible" r:id="rId12"/>
    <sheet name="Расчёт vs Прайс (Урок-Марина)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<sst xmlns="http://schemas.openxmlformats.org/spreadsheetml/2006/main" count="2196" uniqueCount="871">
  <si>
    <t xml:space="preserve">ОПОРНАЯ БАЗА УСС · «УралСетьСтрой» · v2.0</t>
  </si>
  <si>
    <t xml:space="preserve">Ресурсы и стоимости для агента СтройИнтеллект.Лайт (Родионыч). Инженерные сети, гражданское строительство, Екатеринбург/УрФО. Обновлено 05.07.2026 из счетов и КП по объекту ТК «Новотэкс» (ЭС+ПС).</t>
  </si>
  <si>
    <t xml:space="preserve">Что это</t>
  </si>
  <si>
    <t xml:space="preserve">Стартовая опорная база для предпроектной оценки объектов инженерных сетей. Собрана из чатов проекта СтройИнтеллект по объектам УСС. Главный лист — «Материалы» (самая крупная и дробная номенклатура).</t>
  </si>
  <si>
    <t xml:space="preserve">Как пополнять</t>
  </si>
  <si>
    <t xml:space="preserve">По мере загрузки артефактов объектов (ВОР, спецификации) и СЧЕТОВ — заносить фактические цены в листы «Материалы»/«Оборудование» (синие ячейки), проставляя источник, дату и статус. Оценки заменять живыми КП.</t>
  </si>
  <si>
    <t xml:space="preserve">Легенда статуса</t>
  </si>
  <si>
    <t xml:space="preserve">✅ ФАКТ (источник+дата+«действует») · ⚠ ОЦЕНКА/ПРЕДПОЛОЖЕНИЕ (ориентир, не КП) · ❌ НЕИЗВЕСТНО (нужны данные: от кого и к сроку).</t>
  </si>
  <si>
    <t xml:space="preserve">Точность оценок</t>
  </si>
  <si>
    <t xml:space="preserve">Материалы/монтаж ⚠ ±15–20%. Тяжёлое оборудование ⚠ ±20–25% — по нему ЖИВОЕ КП критично (Урок-Марина: синтетика «по классу» промахивалась в 2–11×).</t>
  </si>
  <si>
    <t xml:space="preserve">Срок годности</t>
  </si>
  <si>
    <t xml:space="preserve">Цены старше 90 дней → ⚠ + проверка живым поиском/КП. Нормативы — статус «действует» на дату ответа.</t>
  </si>
  <si>
    <t xml:space="preserve">НДС</t>
  </si>
  <si>
    <t xml:space="preserve">⚠ НЕ зашит. В данных УСС встречались ОБЕ ставки: 20% (ЕТК/ЖД№2, B2G) и 22% (Астон/Новотэкс, коммерция). Уточнять на дату и по типу заказчика.</t>
  </si>
  <si>
    <t xml:space="preserve">Синие ячейки</t>
  </si>
  <si>
    <t xml:space="preserve">Входные цены — их меняют под живые КП. Чёрные — формулы/расчёт.</t>
  </si>
  <si>
    <t xml:space="preserve">Дисклеймер</t>
  </si>
  <si>
    <t xml:space="preserve">Это НЕ смета, НЕ финмодель и НЕ цена контракта. Ориентир для решения «брать / что проверить первым». Право, НДС, конструктив — верифицировать у специалиста/проектировщика.</t>
  </si>
  <si>
    <t xml:space="preserve">Провенанс</t>
  </si>
  <si>
    <t xml:space="preserve">Источники — расчёты команды СтройИнтеллект по объектам: ЖК «Астон» (SI-2026-EKB-001), ТК «Новотэкс» (SI-2026-EKB-NVT), Жилой дом №2 «Азина–Луначарского» (B2G, ЕТК). См. лист «Реестр объектов».</t>
  </si>
  <si>
    <t xml:space="preserve">Обновление v2.0</t>
  </si>
  <si>
    <t xml:space="preserve">Подтянуты ФАКТИЧЕСКИЕ цены материалов ЭС+ПС по ТК «Новотэкс» (SI-2026-EKB-NVT): счета/КП от 08–25.06.2026 (ЭТМ/ЭНЕРГОПРОМ, Фобос-М, ТехноЛайт/Лайта, СК Урала, УралСтройГруп, Гамма цвета, лаборатории). Новые листы: «Новотэкс — позиции (факт)» и «Расчёт vs Прайс (Урок-Марина)».</t>
  </si>
  <si>
    <t xml:space="preserve">НДС Новотэкс</t>
  </si>
  <si>
    <t xml:space="preserve">✅ Подтверждён 22% по всем счетам Новотэкс (коммерция). Исключение: ДГУ-Сервис (электролаборатория) — НДС 5% (спецрежим).</t>
  </si>
  <si>
    <t xml:space="preserve">Ключевой флаг v2</t>
  </si>
  <si>
    <t xml:space="preserve">🔴 Факт закупки ЭС+ПС (ЭОМ+ЭМ+ЭО+ЭГ+ПС) ≈ 31,6 млн ₽ б/НДС — ПРЕВЫШАЕТ прежнюю оценку всего частичного периметра Новотэкс (≈30,1 млн). Причина: периметр ЭС расширен (полное силовое ЭМ + освещение ЭО + молниезащита ЭГ сверх ЭОМ). Прежняя калибровка себестоимости Новотэкс — устарела, пересчитать.</t>
  </si>
  <si>
    <t xml:space="preserve">МАТЕРИАЛЫ — цены-ориентиры (главный лист)  ·  v2.0</t>
  </si>
  <si>
    <t xml:space="preserve">Инженерные сети. Цена — руб. за ед. ДО приобъектного склада (с логистикой). Строки с датой 06.2026 и статусом ✅ — ФАКТ по счетам/КП Новотэкс (ЭС+ПС). Прочие ⚠/❌ — ориентир/нет данных. Синие цены — входные (факт/под КП).</t>
  </si>
  <si>
    <t xml:space="preserve">Группа</t>
  </si>
  <si>
    <t xml:space="preserve">Позиция / типоразмер</t>
  </si>
  <si>
    <t xml:space="preserve">Ед.</t>
  </si>
  <si>
    <t xml:space="preserve">Цена min ₽</t>
  </si>
  <si>
    <t xml:space="preserve">Цена max ₽</t>
  </si>
  <si>
    <t xml:space="preserve">Поставщик / бренд (УрФО)</t>
  </si>
  <si>
    <t xml:space="preserve">Дата / базис</t>
  </si>
  <si>
    <t xml:space="preserve">Статус</t>
  </si>
  <si>
    <t xml:space="preserve">Примечание</t>
  </si>
  <si>
    <t xml:space="preserve">Трубы стальные</t>
  </si>
  <si>
    <t xml:space="preserve">Труба нержавеющая 12Х18Н10Т (ИТП/сети)</t>
  </si>
  <si>
    <t xml:space="preserve">м</t>
  </si>
  <si>
    <t xml:space="preserve">металлобазы Екб / Сантехкомплект</t>
  </si>
  <si>
    <t xml:space="preserve">07.2026</t>
  </si>
  <si>
    <t xml:space="preserve">❌</t>
  </si>
  <si>
    <t xml:space="preserve">Цена привязана к рынку металлопроката — занести из счёта</t>
  </si>
  <si>
    <t xml:space="preserve">Труба электросварная / горячедеформ. / ВГП</t>
  </si>
  <si>
    <t xml:space="preserve">ТД «СК Урала» (Екб)</t>
  </si>
  <si>
    <t xml:space="preserve">24.06.2026</t>
  </si>
  <si>
    <t xml:space="preserve">✅</t>
  </si>
  <si>
    <t xml:space="preserve">ФАКТ: ВГП чёрн Ду20=124,77; Ду25=166,61; Ду32=212,73; э/св 57=324,49 ₽/м. Счета СК Урала №10891/12094. Для ЭГ (заземл.)</t>
  </si>
  <si>
    <t xml:space="preserve">Трубы полимер</t>
  </si>
  <si>
    <t xml:space="preserve">Труба ПП / ПНД (ВК, наружка)</t>
  </si>
  <si>
    <t xml:space="preserve">АкваТрейд / Сантехкомплект Екб</t>
  </si>
  <si>
    <t xml:space="preserve">Занести из спецификации ВК объекта</t>
  </si>
  <si>
    <t xml:space="preserve">Арматура</t>
  </si>
  <si>
    <t xml:space="preserve">Задвижки / краны шаровые / затворы (по Ду)</t>
  </si>
  <si>
    <t xml:space="preserve">шт</t>
  </si>
  <si>
    <t xml:space="preserve">ТД Инженерное оборуд. Екб</t>
  </si>
  <si>
    <t xml:space="preserve">Ориентир по Ду — под КП</t>
  </si>
  <si>
    <t xml:space="preserve">Клапаны обратные / балансировочные / предохран.</t>
  </si>
  <si>
    <t xml:space="preserve">дилеры Ридан Екб</t>
  </si>
  <si>
    <t xml:space="preserve">По Ду; занести из счёта</t>
  </si>
  <si>
    <t xml:space="preserve">Регуляторы Ридан (ex-Danfoss AFD/VFG)</t>
  </si>
  <si>
    <t xml:space="preserve">Ридан (Н.Новгород) / дилер</t>
  </si>
  <si>
    <t xml:space="preserve">⚠</t>
  </si>
  <si>
    <t xml:space="preserve">Локализация Danfoss; разброс — под КП</t>
  </si>
  <si>
    <t xml:space="preserve">Фильтры/грязевики</t>
  </si>
  <si>
    <t xml:space="preserve">Фильтр сетчатый фланцевый (DN15…125)</t>
  </si>
  <si>
    <t xml:space="preserve">АДЛ / дилер Екб</t>
  </si>
  <si>
    <t xml:space="preserve">По Ду — под КП</t>
  </si>
  <si>
    <t xml:space="preserve">Грязевик вертикальный стальной (Ду125/150 Ру16)</t>
  </si>
  <si>
    <t xml:space="preserve">сварные, Екб</t>
  </si>
  <si>
    <t xml:space="preserve">Абонентские/ТП — под КП</t>
  </si>
  <si>
    <t xml:space="preserve">Изоляция</t>
  </si>
  <si>
    <t xml:space="preserve">Маты минплита (ROCKWOOL → ТехноНИКОЛЬ)</t>
  </si>
  <si>
    <t xml:space="preserve">м²</t>
  </si>
  <si>
    <t xml:space="preserve">ТехноНИКОЛЬ (РФ)</t>
  </si>
  <si>
    <t xml:space="preserve">27.06.2026</t>
  </si>
  <si>
    <t xml:space="preserve">ROCKWOOL вышел из РФ → аналог; замена через ПТР</t>
  </si>
  <si>
    <t xml:space="preserve">Цилиндры навивные Rockwool-типа + покровный слой</t>
  </si>
  <si>
    <t xml:space="preserve">дилер Екб</t>
  </si>
  <si>
    <t xml:space="preserve">За метр по диаметру трубы — занести из ВОР</t>
  </si>
  <si>
    <t xml:space="preserve">K-flex (трубная, фреонотрассы)</t>
  </si>
  <si>
    <t xml:space="preserve">компл</t>
  </si>
  <si>
    <t xml:space="preserve">K-FLEX (РФ)</t>
  </si>
  <si>
    <t xml:space="preserve">Медные фреонотрассы+изоляция ~180 000 ₽/компл (Астон)</t>
  </si>
  <si>
    <t xml:space="preserve">Воздуховоды/ПД</t>
  </si>
  <si>
    <t xml:space="preserve">Воздуховоды оцинк. 0,7 мм + фасонина</t>
  </si>
  <si>
    <t xml:space="preserve">Винтэл (РФ)</t>
  </si>
  <si>
    <t xml:space="preserve">Пакетно ~1,15 млн ₽ на большой объём (Астон); нужна ставка ₽/м²</t>
  </si>
  <si>
    <t xml:space="preserve">Огнезащита воздуховодов (Изовент EI150 и т.п.)</t>
  </si>
  <si>
    <t xml:space="preserve">—</t>
  </si>
  <si>
    <t xml:space="preserve">Тип EI — по проекту; занести</t>
  </si>
  <si>
    <t xml:space="preserve">Решётки / диффузоры</t>
  </si>
  <si>
    <t xml:space="preserve">По спецификации ОВ</t>
  </si>
  <si>
    <t xml:space="preserve">Электрика (КПП)</t>
  </si>
  <si>
    <t xml:space="preserve">Кабель ВВГнг(А)-LS (по сечению)</t>
  </si>
  <si>
    <t xml:space="preserve">Кабэкс/ЦВЕТЛИТ/ЭЛКАБ/Ореол (ЭТМ)</t>
  </si>
  <si>
    <t xml:space="preserve">23.06.2026</t>
  </si>
  <si>
    <t xml:space="preserve">ФАКТ ППГнг(А)-HF (безгалоген, по проекту вместо ВВГнг-LS): 3х1.5≈58; 3х2.5≈85; 5х4≈215; 5х10≈534; 5х16≈841; 5х25≈1390; 5х150≈7647–7855 ₽/м</t>
  </si>
  <si>
    <t xml:space="preserve">Кабель огнестойкий ВВГнг(А)-FRLS (ПС/СОУЭ)</t>
  </si>
  <si>
    <t xml:space="preserve">Кабэкс/ЭлПром/Паритет (ЭТМ)</t>
  </si>
  <si>
    <t xml:space="preserve">ФАКТ огнест. ППГнг-FRHF: 2х1.5≈53; 4х1.5≈87; 5х4≈244; 5х95≈6171 ₽/м. Сигнальный ПС КСРПнг-FRHF: 1х2х0.8≈34…1х2х1.38≈76 ₽/м</t>
  </si>
  <si>
    <t xml:space="preserve">Кабель бронированный ВБбШв / КЛ 0,4 кВ</t>
  </si>
  <si>
    <t xml:space="preserve">ЭЛКАБ/НКЗ-НН/НеоКом (ЭТМ)</t>
  </si>
  <si>
    <t xml:space="preserve">ФАКТ ВБШвнг(А)-LS: 5х16≈912; 5х25≈1377; 5х150≈7738 ₽/м</t>
  </si>
  <si>
    <t xml:space="preserve">Электрика (трассы)</t>
  </si>
  <si>
    <t xml:space="preserve">Лотки металл. перфор./лестничные (100…400)</t>
  </si>
  <si>
    <t xml:space="preserve">DKC (ЭТМ)</t>
  </si>
  <si>
    <t xml:space="preserve">ФАКТ: лоток перфор. 100х50=285,92 ₽/м; лоток лестничный 100х300=2504,92 ₽/м. + консоли/шпильки/крепёж (см. лист позиций)</t>
  </si>
  <si>
    <t xml:space="preserve">Трубы гофр. ПВХ/ПНД, короба, крепёж</t>
  </si>
  <si>
    <t xml:space="preserve">DKC/Промрукав/ПожТехКабель</t>
  </si>
  <si>
    <t xml:space="preserve">ФАКТ: гофра ПВХ20=14,22; ПНД-HF20=17,15; гладкая ПВХ20=30,80; гофра32=32,28 ₽/м; кабель-канал 100х60=326; 110х50 FRONT=593 ₽/м</t>
  </si>
  <si>
    <t xml:space="preserve">Электрика (аппар.)</t>
  </si>
  <si>
    <t xml:space="preserve">Автоматы модульные / диф / УЗО / ВА</t>
  </si>
  <si>
    <t xml:space="preserve">IEK / DKC Avanti (ЭТМ)</t>
  </si>
  <si>
    <t xml:space="preserve">Модульные автоматы — в сборке щитов (отд. не закупались). ФАКТ установочных изделий: розетка Avanti 2P+E 189–255; выкл. IEK проходной 239; розетка FORS IEK 238–469 ₽/шт</t>
  </si>
  <si>
    <t xml:space="preserve">Электрика (щиты)</t>
  </si>
  <si>
    <t xml:space="preserve">Щиты ЩРН/ЩРВ, корпуса, АВР</t>
  </si>
  <si>
    <t xml:space="preserve">DKC / СИРИУС (Фобос-М)</t>
  </si>
  <si>
    <t xml:space="preserve">ФАКТ: щит монтажный ЩМП 800х600х300 STE=16 608 ₽; шкаф ПС ШПС-12 исп.10=24 773 ₽/шт</t>
  </si>
  <si>
    <t xml:space="preserve">Освещение</t>
  </si>
  <si>
    <t xml:space="preserve">Светильники LED склад/офис/аварийные (БАП)</t>
  </si>
  <si>
    <t xml:space="preserve">Ардатовский СТЗ / Белый свет (ЭТМ)</t>
  </si>
  <si>
    <t xml:space="preserve">ФАКТ: ламповый 1404; ДПО52-40-102 4298; настенный 4920–5721; ДПО52-40-842 EM3(авар.) 9777–11368; ДПП03 7997; указатель BS-SPUTNIK 9332; промышл. ДСП03-180 18 285 ₽/шт</t>
  </si>
  <si>
    <t xml:space="preserve">КИП</t>
  </si>
  <si>
    <t xml:space="preserve">Манометр показ. 0…16 бар G1/2" Тмакс150°C</t>
  </si>
  <si>
    <t xml:space="preserve">Технические манометры</t>
  </si>
  <si>
    <t xml:space="preserve">Термометр биметаллический осевой + бобышка</t>
  </si>
  <si>
    <t xml:space="preserve">Комплект под термометр</t>
  </si>
  <si>
    <t xml:space="preserve">Опоры/крепёж</t>
  </si>
  <si>
    <t xml:space="preserve">Опоры скользящие (76…219), хомуты, подвески</t>
  </si>
  <si>
    <t xml:space="preserve">металлобазы Екб</t>
  </si>
  <si>
    <t xml:space="preserve">По ВОР ТМ</t>
  </si>
  <si>
    <t xml:space="preserve">Санприборы</t>
  </si>
  <si>
    <t xml:space="preserve">Санприборы (унитазы/раковины/трапы, компл.)</t>
  </si>
  <si>
    <t xml:space="preserve">Сантехкомплект Екб</t>
  </si>
  <si>
    <t xml:space="preserve">По спецификации ВК</t>
  </si>
  <si>
    <t xml:space="preserve">Молниезащита/ЭГ</t>
  </si>
  <si>
    <t xml:space="preserve">Пруток стальной гор.оцинк. d8 (молниеприёмник)</t>
  </si>
  <si>
    <t xml:space="preserve">DKC (ЭТМ/ЭНЕРГОПРОМ)</t>
  </si>
  <si>
    <t xml:space="preserve">Сверка каналов сошлась: ЭТМ 71,21 / ЭНЕРГОПРОМ 71,24 ₽/м (уп.110м NC1008)</t>
  </si>
  <si>
    <t xml:space="preserve">Полоса стальная оцинк. 25х4 / 40х4 / 40х5</t>
  </si>
  <si>
    <t xml:space="preserve">DKC/КМ-профиль/ЕЗЕТЕК</t>
  </si>
  <si>
    <t xml:space="preserve">08.06.2026</t>
  </si>
  <si>
    <t xml:space="preserve">25х4≈154; 40х4=234; 40х5=287–297 ₽/м</t>
  </si>
  <si>
    <t xml:space="preserve">Провод заземл. ПуГВнг(А)-LS 1х4…1х25</t>
  </si>
  <si>
    <t xml:space="preserve">Металлист (ЭТМ)</t>
  </si>
  <si>
    <t xml:space="preserve">1х4=38,6; 1х6=56,8; 1х25=242,8 ₽/м</t>
  </si>
  <si>
    <t xml:space="preserve">Держатели/зажимы/соединители молниезащиты</t>
  </si>
  <si>
    <t xml:space="preserve">Держатель универс. 109; безболт. 147; соединитель пруток-полоса 282; скоба-держатель 279 ₽/шт</t>
  </si>
  <si>
    <t xml:space="preserve">Керамоволокно Ceraterm/Cerachem Blanket (огнеупор.)</t>
  </si>
  <si>
    <t xml:space="preserve">рул</t>
  </si>
  <si>
    <t xml:space="preserve">УралСтройГруп (Екб)</t>
  </si>
  <si>
    <t xml:space="preserve">19.06.2026</t>
  </si>
  <si>
    <t xml:space="preserve">Заказ №1311. 96–128 кг/м³, самовывоз Сухой Лог. Проверить назначение (огнезащита проходок/уплотнения)</t>
  </si>
  <si>
    <t xml:space="preserve">ЛКМ/окраска</t>
  </si>
  <si>
    <t xml:space="preserve">Эмаль ПФ-115 ГОСТ 6465-76 (0,9 кг)</t>
  </si>
  <si>
    <t xml:space="preserve">Гамма цвета / Радуга (Екб)</t>
  </si>
  <si>
    <t xml:space="preserve">Окраска элементов ЭГ. Счёт №364. Частное лицо-плательщик — сверить оформление на УСС</t>
  </si>
  <si>
    <t xml:space="preserve">Крепёж/метизы</t>
  </si>
  <si>
    <t xml:space="preserve">Шпильки/анкеры/консоли/тросы (несущие системы)</t>
  </si>
  <si>
    <t xml:space="preserve">DKC/Крепдил (ЭТМ)</t>
  </si>
  <si>
    <t xml:space="preserve">Шпилька М8=113 ₽/м; анкер М8 усил.=70; консоль ML150=589; трос стальной 4мм=32; коуш/зажим/талреп троса 9–35 ₽/шт</t>
  </si>
  <si>
    <t xml:space="preserve">ПС — приборы</t>
  </si>
  <si>
    <t xml:space="preserve">Приёмно-контрольные (Болид С2000/СИРИУС/Рубеж R3)</t>
  </si>
  <si>
    <t xml:space="preserve">Фобос-М / ТехноЛайт(Лайта)</t>
  </si>
  <si>
    <t xml:space="preserve">С2000-КДЛ 3384–4975; С2000-БИ 7549; СИРИУС ППКУП 32 127; Рубеж ЦПИУ исп.1=402 812; R3-2ОП 36 963 ₽/шт</t>
  </si>
  <si>
    <t xml:space="preserve">ПС — извещатели</t>
  </si>
  <si>
    <t xml:space="preserve">Извещатель пожарный аспирационный ИПА</t>
  </si>
  <si>
    <t xml:space="preserve">Спецавтоматика / Рубеж(Лайта)</t>
  </si>
  <si>
    <t xml:space="preserve">🔴</t>
  </si>
  <si>
    <t xml:space="preserve">КРИТИЧНО: финал ПС ИП212-5 ИПА (Спецавтоматика)=133 692–143 323; КП Лайты ИП212-1-А-R3 (Рубеж)=218 500 ₽/шт. Δ≈75к/шт. См. лист «Расчёт vs Прайс»</t>
  </si>
  <si>
    <t xml:space="preserve">Извещатель точечный / оповещатель / метка</t>
  </si>
  <si>
    <t xml:space="preserve">ЭиА / Рубеж (ЭТМ/Лайта)</t>
  </si>
  <si>
    <t xml:space="preserve">Оповещ. КРИСТАЛЛ-12=240; комбинир.=584; АМ-1-R3=809; РМ-4К-R3=4017; АМП-4-R3=11 014 ₽/шт</t>
  </si>
  <si>
    <t xml:space="preserve">ПС — питание</t>
  </si>
  <si>
    <t xml:space="preserve">АКБ 12В/40Ач AGM (ПожТехКабель PTK-BAT)</t>
  </si>
  <si>
    <t xml:space="preserve">ТехноЛайт (Лайта)</t>
  </si>
  <si>
    <t xml:space="preserve">Резерв питания приборов ПС</t>
  </si>
  <si>
    <t xml:space="preserve">ПС — трасса</t>
  </si>
  <si>
    <t xml:space="preserve">Труба аспирации Ø25 (ПВХ гладкая vs АБС спец.)</t>
  </si>
  <si>
    <t xml:space="preserve">DKC / Экопласт(Лайта)</t>
  </si>
  <si>
    <t xml:space="preserve">РАЗВИЛКА ГИП: финал ПС — ПВХ гладкая 25мм=39,12 ₽/м; КП Лайты — АБС спец. аспирац.=251,11 ₽/м. На 9036 м Δ≈1,9 млн. Спецификацию ИПДА подтвердить у проектировщика</t>
  </si>
  <si>
    <t xml:space="preserve">ПС — короб/огнест.</t>
  </si>
  <si>
    <t xml:space="preserve">Коробка огнестойкая КМ-О / кабель-канал ПС</t>
  </si>
  <si>
    <t xml:space="preserve">Гефест-СПб/ПожТехКабель</t>
  </si>
  <si>
    <t xml:space="preserve">22.06.2026</t>
  </si>
  <si>
    <t xml:space="preserve">КМ-О(4к) IP41=283 ₽/шт; кабель-канал 100х60=326 ₽/м</t>
  </si>
  <si>
    <t xml:space="preserve">ОБОРУДОВАНИЕ — цены-ориентиры (по нему ЖИВОЕ КП критично)</t>
  </si>
  <si>
    <t xml:space="preserve">Тяжёлая тепломеханика/вентиляция. Синие цены — входные, под живые КП. ⚠ ±15–25%. Источник цен Астон: закупочный фон Марины, 27.06.2026, рынок РФ/Екб.</t>
  </si>
  <si>
    <t xml:space="preserve">Позиция</t>
  </si>
  <si>
    <t xml:space="preserve">Марка / модель</t>
  </si>
  <si>
    <t xml:space="preserve">Кол-во*</t>
  </si>
  <si>
    <t xml:space="preserve">Цена ₽/ед</t>
  </si>
  <si>
    <t xml:space="preserve">Поставщик (регион)</t>
  </si>
  <si>
    <t xml:space="preserve">Санкции</t>
  </si>
  <si>
    <t xml:space="preserve">Лид-тайм, нед</t>
  </si>
  <si>
    <t xml:space="preserve">Приточно-вытяжная установка с рекуператором</t>
  </si>
  <si>
    <t xml:space="preserve">КОРФ ANP8.1 (ПВ3.1)</t>
  </si>
  <si>
    <t xml:space="preserve">КОРФ (Екб)</t>
  </si>
  <si>
    <t xml:space="preserve">🟢</t>
  </si>
  <si>
    <t xml:space="preserve">Астон</t>
  </si>
  <si>
    <t xml:space="preserve">ККБ (охлаждение приточки 58,3 кВт)</t>
  </si>
  <si>
    <t xml:space="preserve">КОРФ KSK 060</t>
  </si>
  <si>
    <t xml:space="preserve">Астон; риск импорт-компонентов</t>
  </si>
  <si>
    <t xml:space="preserve">Автоматика ПВ3.1 (ЧП+узел)</t>
  </si>
  <si>
    <t xml:space="preserve">КОРФ KR25-035512</t>
  </si>
  <si>
    <t xml:space="preserve">🟡</t>
  </si>
  <si>
    <t xml:space="preserve">Насосная установка повыш. давления</t>
  </si>
  <si>
    <t xml:space="preserve">ANTARUS X2 MLV4-5/01</t>
  </si>
  <si>
    <t xml:space="preserve">ЭЛИТА-Центр (СПб)</t>
  </si>
  <si>
    <t xml:space="preserve">Астон; отеч.</t>
  </si>
  <si>
    <t xml:space="preserve">Теплообменник + насос</t>
  </si>
  <si>
    <t xml:space="preserve">Теплосила ET-014 / Wilo NOC 25/4</t>
  </si>
  <si>
    <t xml:space="preserve">Теплосила / Wilo</t>
  </si>
  <si>
    <t xml:space="preserve">Астон; Wilo — проверить</t>
  </si>
  <si>
    <t xml:space="preserve">Тепловые завесы водяные</t>
  </si>
  <si>
    <t xml:space="preserve">КОРФ PWZ-C 70-40</t>
  </si>
  <si>
    <t xml:space="preserve">Астон; локальный</t>
  </si>
  <si>
    <t xml:space="preserve">Сплит-системы</t>
  </si>
  <si>
    <t xml:space="preserve">MDV «Aurora» 07…36</t>
  </si>
  <si>
    <t xml:space="preserve">MDV/Midea (КНР)</t>
  </si>
  <si>
    <t xml:space="preserve">Тепловентиляторы водяные</t>
  </si>
  <si>
    <t xml:space="preserve">ГРЕЕРС ВС-2245</t>
  </si>
  <si>
    <t xml:space="preserve">ЮНИОВЕНТ / СанТех-Сити Екб</t>
  </si>
  <si>
    <t xml:space="preserve">Дестратификаторы</t>
  </si>
  <si>
    <t xml:space="preserve">ГРЕЕРС Д3</t>
  </si>
  <si>
    <t xml:space="preserve">ЮНИОВЕНТ</t>
  </si>
  <si>
    <t xml:space="preserve">Люки/клапаны дымоудаления</t>
  </si>
  <si>
    <t xml:space="preserve">ВЕЗА ДЫМОЗОР-100/300М</t>
  </si>
  <si>
    <t xml:space="preserve">ВЕЗА (РФ)</t>
  </si>
  <si>
    <t xml:space="preserve">Канальные вентиляторы</t>
  </si>
  <si>
    <t xml:space="preserve">КОРФ WNK 100…200</t>
  </si>
  <si>
    <t xml:space="preserve">Водонагреватели электрические</t>
  </si>
  <si>
    <t xml:space="preserve">Thermex 30…200 л</t>
  </si>
  <si>
    <t xml:space="preserve">Thermex (РФ)</t>
  </si>
  <si>
    <t xml:space="preserve">Астон; масс-маркет</t>
  </si>
  <si>
    <t xml:space="preserve">Радиаторы стальные панельные</t>
  </si>
  <si>
    <t xml:space="preserve">Buderus VK-Profil 22</t>
  </si>
  <si>
    <t xml:space="preserve">Bosch/Buderus (ФРГ)/дистр.Екб</t>
  </si>
  <si>
    <t xml:space="preserve">Астон; санкц. → отеч. аналог</t>
  </si>
  <si>
    <t xml:space="preserve">Насосы дренажные ИТП</t>
  </si>
  <si>
    <t xml:space="preserve">Вихрь ДН-900</t>
  </si>
  <si>
    <t xml:space="preserve">Вихрь (РФ)</t>
  </si>
  <si>
    <t xml:space="preserve">Блочный тепловой пункт (модули СО/СВ/ГВС)</t>
  </si>
  <si>
    <t xml:space="preserve">FORTUS (8 модулей)</t>
  </si>
  <si>
    <t xml:space="preserve">FORTUS (РФ)</t>
  </si>
  <si>
    <t xml:space="preserve">ЖД№2; под КП. Нагрузка ~2,42 Гкал/ч</t>
  </si>
  <si>
    <t xml:space="preserve">Расширительные баки мембранные</t>
  </si>
  <si>
    <t xml:space="preserve">Barus / Wester (8…1000 л)</t>
  </si>
  <si>
    <t xml:space="preserve">Barus/Wester</t>
  </si>
  <si>
    <t xml:space="preserve">ЖД№2; под КП по объёму/PN</t>
  </si>
  <si>
    <t xml:space="preserve">Насосные установки</t>
  </si>
  <si>
    <t xml:space="preserve">ANTARUS MULTI</t>
  </si>
  <si>
    <t xml:space="preserve">ANTARUS (РФ)</t>
  </si>
  <si>
    <t xml:space="preserve">ЖД№2; под КП</t>
  </si>
  <si>
    <t xml:space="preserve">Ёмкостные водонагреватели/бойлеры</t>
  </si>
  <si>
    <t xml:space="preserve">РБ 1000Е (1,6 МПа)</t>
  </si>
  <si>
    <t xml:space="preserve">РБ (РФ)</t>
  </si>
  <si>
    <t xml:space="preserve">* Кол-во — пример из объекта Астон (для калибровки цены), не норматив. Цена × Кол-во считать формулой в артефакте объекта.</t>
  </si>
  <si>
    <t xml:space="preserve">СТАВКИ МОНТАЖА (СМР — работа без материала), рынок Екб 2026</t>
  </si>
  <si>
    <t xml:space="preserve">Объектный монтаж новостройки (не розничная замена). ⚠ ОЦЕНКА ±15–20%. Репер СМР от живой сметы ОКО: НР 90% / СП 46%.</t>
  </si>
  <si>
    <t xml:space="preserve">Вид работ (пакет)</t>
  </si>
  <si>
    <t xml:space="preserve">Ставка min ₽</t>
  </si>
  <si>
    <t xml:space="preserve">Ставка max ₽</t>
  </si>
  <si>
    <t xml:space="preserve">Дата/базис</t>
  </si>
  <si>
    <t xml:space="preserve">Источник / примечание</t>
  </si>
  <si>
    <t xml:space="preserve">Монтаж воздуховодов + изоляция + огнезащита</t>
  </si>
  <si>
    <t xml:space="preserve">Екб 2026</t>
  </si>
  <si>
    <t xml:space="preserve">⚠ web-ориентир; «от 600 ₽/м²»</t>
  </si>
  <si>
    <t xml:space="preserve">Монтаж радиаторов (объектный)</t>
  </si>
  <si>
    <t xml:space="preserve">⚠ объектно ~3000 ₽/шт (не розница 1700–3600)</t>
  </si>
  <si>
    <t xml:space="preserve">Монтаж трубопроводов ОВ/ВК/ТМ</t>
  </si>
  <si>
    <t xml:space="preserve">❌ занести по ФЕР-реперу/КП подрядчика</t>
  </si>
  <si>
    <t xml:space="preserve">Монтаж арматуры / КИП</t>
  </si>
  <si>
    <t xml:space="preserve">❌ занести из расчёта</t>
  </si>
  <si>
    <t xml:space="preserve">Монтаж тепломеханики ИТП/БТП</t>
  </si>
  <si>
    <t xml:space="preserve">❌ % от материалов по реперу ОКО (черновой скелет)</t>
  </si>
  <si>
    <t xml:space="preserve">Электромонтаж (кабель/лотки/щиты)</t>
  </si>
  <si>
    <t xml:space="preserve">разн.</t>
  </si>
  <si>
    <t xml:space="preserve">❌ часть длин — под обмер ПТО; итог после обмера</t>
  </si>
  <si>
    <t xml:space="preserve">ПНР (пусконаладка)</t>
  </si>
  <si>
    <t xml:space="preserve">❌ занести отдельной строкой</t>
  </si>
  <si>
    <t xml:space="preserve">СТРУКТУРА СЕБЕСТОИМОСТИ «ПОД КЛЮЧ» + НОРМАТИВЫ НАДБАВОК</t>
  </si>
  <si>
    <t xml:space="preserve">Репер по объектам инженерных сетей УСС (Астон/Новотэкс, turnkey, 2026). Доли ⚠ ориентир — калибровать под конкретный периметр.</t>
  </si>
  <si>
    <t xml:space="preserve">Статья</t>
  </si>
  <si>
    <t xml:space="preserve">Доля / норматив</t>
  </si>
  <si>
    <t xml:space="preserve">База начисления</t>
  </si>
  <si>
    <t xml:space="preserve">ПРЯМЫЕ ЗАТРАТЫ</t>
  </si>
  <si>
    <t xml:space="preserve">  Оборудование (закупка)</t>
  </si>
  <si>
    <t xml:space="preserve">~41,6%</t>
  </si>
  <si>
    <t xml:space="preserve">от полной себест.</t>
  </si>
  <si>
    <t xml:space="preserve">Центр тяжести бюджета сетей</t>
  </si>
  <si>
    <t xml:space="preserve">  Материалы монтажа (закупка)</t>
  </si>
  <si>
    <t xml:space="preserve">~22,1%</t>
  </si>
  <si>
    <t xml:space="preserve">Крупнейшая номенклатура</t>
  </si>
  <si>
    <t xml:space="preserve">  СМР — монтаж (работа без материала)</t>
  </si>
  <si>
    <t xml:space="preserve">~22,5%</t>
  </si>
  <si>
    <t xml:space="preserve">Ставки Екб / лист «Ставки монтажа»</t>
  </si>
  <si>
    <t xml:space="preserve">  ПТО / исполнительная документация</t>
  </si>
  <si>
    <t xml:space="preserve">~3,5%</t>
  </si>
  <si>
    <t xml:space="preserve">Оценка по реестру ИД</t>
  </si>
  <si>
    <t xml:space="preserve">  ИТОГО прямые</t>
  </si>
  <si>
    <t xml:space="preserve">~89,7%</t>
  </si>
  <si>
    <t xml:space="preserve">КОСВЕННЫЕ / «ПОД КЛЮЧ»</t>
  </si>
  <si>
    <t xml:space="preserve">  Лаборатория (НАКС/ВИК/УЗК/аэродин./плотн.)</t>
  </si>
  <si>
    <t xml:space="preserve">≈450 000 ₽</t>
  </si>
  <si>
    <t xml:space="preserve">фикс.</t>
  </si>
  <si>
    <t xml:space="preserve">Должна покрывать ВСЕ виды контроля</t>
  </si>
  <si>
    <t xml:space="preserve">  Логистика / доставка / хранение</t>
  </si>
  <si>
    <t xml:space="preserve">~1,5%</t>
  </si>
  <si>
    <t xml:space="preserve">от закупки</t>
  </si>
  <si>
    <t xml:space="preserve">  ВЗиС (временные здания/сооружения)</t>
  </si>
  <si>
    <t xml:space="preserve">~3%</t>
  </si>
  <si>
    <t xml:space="preserve">от СМР</t>
  </si>
  <si>
    <t xml:space="preserve">  ОПР/ОХР генподряда (управление)</t>
  </si>
  <si>
    <t xml:space="preserve">~4%</t>
  </si>
  <si>
    <t xml:space="preserve">от прямых</t>
  </si>
  <si>
    <t xml:space="preserve">  Резерв непредвиденных</t>
  </si>
  <si>
    <t xml:space="preserve">  ИТОГО косвенные</t>
  </si>
  <si>
    <t xml:space="preserve">~10,3%</t>
  </si>
  <si>
    <t xml:space="preserve">КОРИДОР МАРЖИ (от НМЦК/цены)</t>
  </si>
  <si>
    <t xml:space="preserve">  База (цель)</t>
  </si>
  <si>
    <t xml:space="preserve">8–9%</t>
  </si>
  <si>
    <t xml:space="preserve">Репер Ваныча</t>
  </si>
  <si>
    <t xml:space="preserve">  Оптимизм</t>
  </si>
  <si>
    <t xml:space="preserve">10–12%</t>
  </si>
  <si>
    <t xml:space="preserve">  Минимум (красная линия)</t>
  </si>
  <si>
    <t xml:space="preserve">5–6%</t>
  </si>
  <si>
    <t xml:space="preserve">Ниже 5% = стоп-решение</t>
  </si>
  <si>
    <t xml:space="preserve">⚠ 20% или 22%</t>
  </si>
  <si>
    <t xml:space="preserve">на итог</t>
  </si>
  <si>
    <t xml:space="preserve">Проверять на дату и тип заказчика</t>
  </si>
  <si>
    <t xml:space="preserve">Пример калибровки (Новотэкс, частичный периметр): прямые 27 028 786 + косвенные 3 103 710 = 30 132 496 ₽ без НДС; с НДС 22% ≈ 36 761 645 ₽. ⚠ ОЦЕНКА, не КП.</t>
  </si>
  <si>
    <t xml:space="preserve">Уточнение v2 (Новотэкс, факт):</t>
  </si>
  <si>
    <t xml:space="preserve">Электролаборатория ПСИ по ЭС: живые КП 52 000 / 57 280 (НДС 5%) / 160 000 ₽ б/НДС — спред 3×. Это ТОЛЬКО электрика; строка «Лаборатория ≈450 000 ₽» = весь объект (опрессовка/промывка/аэродинамика/ВИК+электро). Брать нижние КП. НДС Новотэкс подтверждён 22% (кроме спецрежимных поставщиков). 🔴 Факт закупки ЭС+ПС ≈31,6 млн б/НДС — прежняя калибровка 30,1 млн устарела.</t>
  </si>
  <si>
    <t xml:space="preserve">ПОСТАВЩИКИ / ПРОИЗВОДИТЕЛИ — УрФО и РФ</t>
  </si>
  <si>
    <t xml:space="preserve">Приоритет — Екатеринбург/УрФО, логистика DDP Екб. Верификация «офис ≠ производство»; проверка РНП/ФССП — до критической закупки.</t>
  </si>
  <si>
    <t xml:space="preserve">Поставщик / бренд</t>
  </si>
  <si>
    <t xml:space="preserve">Что</t>
  </si>
  <si>
    <t xml:space="preserve">Регион</t>
  </si>
  <si>
    <t xml:space="preserve">КОРФ</t>
  </si>
  <si>
    <t xml:space="preserve">ПВУ, завесы, канальные вент., автоматика</t>
  </si>
  <si>
    <t xml:space="preserve">Екатеринбург</t>
  </si>
  <si>
    <t xml:space="preserve">Локальный, КП есть по объектам</t>
  </si>
  <si>
    <t xml:space="preserve">ЮНИОВЕНТ / СанТех-Сити</t>
  </si>
  <si>
    <t xml:space="preserve">Тепловентиляторы, дестратификаторы</t>
  </si>
  <si>
    <t xml:space="preserve">Проверять объём производства</t>
  </si>
  <si>
    <t xml:space="preserve">ВЕЗА</t>
  </si>
  <si>
    <t xml:space="preserve">Дымоудаление, ПД-клапаны/люки</t>
  </si>
  <si>
    <t xml:space="preserve">РФ</t>
  </si>
  <si>
    <t xml:space="preserve">Отеч.</t>
  </si>
  <si>
    <t xml:space="preserve">Винтэл</t>
  </si>
  <si>
    <t xml:space="preserve">Воздуховоды оцинк. + фасонина</t>
  </si>
  <si>
    <t xml:space="preserve">Объём/сроки</t>
  </si>
  <si>
    <t xml:space="preserve">ТехноНИКОЛЬ</t>
  </si>
  <si>
    <t xml:space="preserve">Изоляция (аналог Rockwool)</t>
  </si>
  <si>
    <t xml:space="preserve">Замена ROCKWOOL (вышел из РФ)</t>
  </si>
  <si>
    <t xml:space="preserve">K-FLEX</t>
  </si>
  <si>
    <t xml:space="preserve">Трубная изоляция, фреонотрассы</t>
  </si>
  <si>
    <t xml:space="preserve">ЭЛИТА-Центр</t>
  </si>
  <si>
    <t xml:space="preserve">Насосные станции ANTARUS</t>
  </si>
  <si>
    <t xml:space="preserve">СПб</t>
  </si>
  <si>
    <t xml:space="preserve">Теплосила</t>
  </si>
  <si>
    <t xml:space="preserve">Теплообменники</t>
  </si>
  <si>
    <t xml:space="preserve">FORTUS</t>
  </si>
  <si>
    <t xml:space="preserve">Блочные/модульные тепловые пункты (БТП)</t>
  </si>
  <si>
    <t xml:space="preserve">Barus / Wester</t>
  </si>
  <si>
    <t xml:space="preserve">Расширительные баки</t>
  </si>
  <si>
    <t xml:space="preserve">ANTARUS</t>
  </si>
  <si>
    <t xml:space="preserve">Насосы/насосные установки</t>
  </si>
  <si>
    <t xml:space="preserve">Аналог Grundfos/Wilo</t>
  </si>
  <si>
    <t xml:space="preserve">РБ</t>
  </si>
  <si>
    <t xml:space="preserve">Ёмкостные водонагреватели</t>
  </si>
  <si>
    <t xml:space="preserve">Ридан</t>
  </si>
  <si>
    <t xml:space="preserve">Регуляторы/автоматика (ex-Danfoss)</t>
  </si>
  <si>
    <t xml:space="preserve">Н.Новгород</t>
  </si>
  <si>
    <t xml:space="preserve">Локализация Danfoss</t>
  </si>
  <si>
    <t xml:space="preserve">АДЛ</t>
  </si>
  <si>
    <t xml:space="preserve">Фильтры сетчатые</t>
  </si>
  <si>
    <t xml:space="preserve">Сантехкомплект / ТД Инж.оборуд. / АкваТрейд</t>
  </si>
  <si>
    <t xml:space="preserve">Трубы, арматура, санприборы</t>
  </si>
  <si>
    <t xml:space="preserve">Дистрибуция</t>
  </si>
  <si>
    <t xml:space="preserve">Металлобазы Екб</t>
  </si>
  <si>
    <t xml:space="preserve">Труба сталь/нерж., опоры, прокат</t>
  </si>
  <si>
    <t xml:space="preserve">Привязка к рынку металлопроката</t>
  </si>
  <si>
    <t xml:space="preserve">Камкабель / УНКОМТЕХ; Кабель.РФ, ЭТМ, Минимакс</t>
  </si>
  <si>
    <t xml:space="preserve">Кабельно-проводниковая продукция</t>
  </si>
  <si>
    <t xml:space="preserve">РФ/Екб</t>
  </si>
  <si>
    <t xml:space="preserve">Заводы + дилеры Екб</t>
  </si>
  <si>
    <t xml:space="preserve">DKC / IEK / Промрукав / Экопласт</t>
  </si>
  <si>
    <t xml:space="preserve">Лотки, короба, трубы, крепёж, аппаратура</t>
  </si>
  <si>
    <t xml:space="preserve">Световые Технологии / Galad / Varton / Ledel</t>
  </si>
  <si>
    <t xml:space="preserve">Светильники LED / аварийные</t>
  </si>
  <si>
    <t xml:space="preserve">Buderus/Bosch, Wilo</t>
  </si>
  <si>
    <t xml:space="preserve">Радиаторы, насосы (импорт)</t>
  </si>
  <si>
    <t xml:space="preserve">ФРГ</t>
  </si>
  <si>
    <t xml:space="preserve">Санкц./лид-тайм → отеч. аналоги</t>
  </si>
  <si>
    <t xml:space="preserve">MDV / Midea</t>
  </si>
  <si>
    <t xml:space="preserve">КНР</t>
  </si>
  <si>
    <t xml:space="preserve">ЭТМ (etm.ru)</t>
  </si>
  <si>
    <t xml:space="preserve">Электрика, кабель, лотки, светильники, ПС — маркетплейс</t>
  </si>
  <si>
    <t xml:space="preserve">Осн. канал ЭС Новотэкс; «со скидкой»/«посл» — фиксировать позднюю выборку</t>
  </si>
  <si>
    <t xml:space="preserve">ЭНЕРГОПРОМ (Русвет)</t>
  </si>
  <si>
    <t xml:space="preserve">Электрика/светильники (счёт-предоплата)</t>
  </si>
  <si>
    <t xml:space="preserve">Прямой счёт; по светильникам Ардатов дороже ЭТМ на 11–24%</t>
  </si>
  <si>
    <t xml:space="preserve">ПС: Рубеж/Болид, аспирация, ПожТехКабель</t>
  </si>
  <si>
    <t xml:space="preserve">Саратов/склад Екб</t>
  </si>
  <si>
    <t xml:space="preserve">КП+счёт-договор; аспирац. извещатель в КП завышен — проверять</t>
  </si>
  <si>
    <t xml:space="preserve">Фобос-М</t>
  </si>
  <si>
    <t xml:space="preserve">Приборы ПС Болид/СИРИУС</t>
  </si>
  <si>
    <t xml:space="preserve">Счёт №ЦБ-1164; НДС 22%</t>
  </si>
  <si>
    <t xml:space="preserve">ТД «СК Урала»</t>
  </si>
  <si>
    <t xml:space="preserve">Труба ВГП/э-св, металлопрокат</t>
  </si>
  <si>
    <t xml:space="preserve">Договор ТД-16/26/П; цена действ. 1 день; НДС 22%</t>
  </si>
  <si>
    <t xml:space="preserve">УралСтройГруп</t>
  </si>
  <si>
    <t xml:space="preserve">Керамоволокно (Ceraterm/Cerachem)</t>
  </si>
  <si>
    <t xml:space="preserve">Самовывоз Сухой Лог; НДС 22%</t>
  </si>
  <si>
    <t xml:space="preserve">Гамма цвета (ИП Шемякин)</t>
  </si>
  <si>
    <t xml:space="preserve">ЛКМ, эмаль ПФ-115</t>
  </si>
  <si>
    <t xml:space="preserve">Счёт на частное лицо — переоформить на УСС</t>
  </si>
  <si>
    <t xml:space="preserve">Спецавтоматика</t>
  </si>
  <si>
    <t xml:space="preserve">Извещатели аспирационные ИП212-5 ИПА</t>
  </si>
  <si>
    <t xml:space="preserve">Финальный выбор ПС; дешевле аналога Рубеж</t>
  </si>
  <si>
    <t xml:space="preserve">Ардатовский СТЗ</t>
  </si>
  <si>
    <t xml:space="preserve">Светильники LED (пром/офис/аварийные)</t>
  </si>
  <si>
    <t xml:space="preserve">Осн. бренд освещения Новотэкс</t>
  </si>
  <si>
    <t xml:space="preserve">Белый свет / ЭиА</t>
  </si>
  <si>
    <t xml:space="preserve">Аварийные указатели, оповещатели КРИСТАЛЛ</t>
  </si>
  <si>
    <t xml:space="preserve">ПС/СОУЭ</t>
  </si>
  <si>
    <t xml:space="preserve">Кабэкс / ЭЛКАБ / ЦВЕТЛИТ / Ореол / ЭлПром</t>
  </si>
  <si>
    <t xml:space="preserve">Кабель ППГнг-HF/FRHF, ВБШв</t>
  </si>
  <si>
    <t xml:space="preserve">Кабель ЭС/ПС через ЭТМ</t>
  </si>
  <si>
    <t xml:space="preserve">DKC / Экопласт / Промрукав</t>
  </si>
  <si>
    <t xml:space="preserve">Лотки, гофра, кабель-канал, крепёж, молниезащ.</t>
  </si>
  <si>
    <t xml:space="preserve">Осн. бренд трасс/крепежа</t>
  </si>
  <si>
    <t xml:space="preserve">СтройВпрокат</t>
  </si>
  <si>
    <t xml:space="preserve">Аренда подъёмников DINGLI JCPT</t>
  </si>
  <si>
    <t xml:space="preserve">Механизация/ВЗиС, не материал</t>
  </si>
  <si>
    <t xml:space="preserve">АВЭЛ / ДГУ-Сервис / Пространство света</t>
  </si>
  <si>
    <t xml:space="preserve">Электролаборатория (ПСИ)</t>
  </si>
  <si>
    <t xml:space="preserve">КП 52к–160к; спред 3×; ДГУ НДС 5%</t>
  </si>
  <si>
    <t xml:space="preserve">НОРМАТИВНАЯ БАЗА — инженерные сети и сметное дело</t>
  </si>
  <si>
    <t xml:space="preserve">⚠ Статус «действует» проверять на дату ответа. Ссылка на отменённый документ без оговорки = ошибка.</t>
  </si>
  <si>
    <t xml:space="preserve">Документ</t>
  </si>
  <si>
    <t xml:space="preserve">О чём</t>
  </si>
  <si>
    <t xml:space="preserve">СП 124.13330.2012</t>
  </si>
  <si>
    <t xml:space="preserve">Тепловые сети (гидравлика, R ≤ 100 Па/м)</t>
  </si>
  <si>
    <t xml:space="preserve">⚠ проверить ред.</t>
  </si>
  <si>
    <t xml:space="preserve">Возможна новая редакция</t>
  </si>
  <si>
    <t xml:space="preserve">Приказ Минстроя № 344/пр</t>
  </si>
  <si>
    <t xml:space="preserve">Состав исполнительной документации (ИД)</t>
  </si>
  <si>
    <t xml:space="preserve">✅ действует</t>
  </si>
  <si>
    <t xml:space="preserve">ред. 23.06.2025</t>
  </si>
  <si>
    <t xml:space="preserve">Приказ Минстроя № 1026/пр</t>
  </si>
  <si>
    <t xml:space="preserve">Общий журнал работ (ОЖР)</t>
  </si>
  <si>
    <t xml:space="preserve">РД-11-02-2006</t>
  </si>
  <si>
    <t xml:space="preserve">Состав ИД (старый)</t>
  </si>
  <si>
    <t xml:space="preserve">❌ ОТМЕНЁН</t>
  </si>
  <si>
    <t xml:space="preserve">Заменён 344/пр — из шаблонов убрать</t>
  </si>
  <si>
    <t xml:space="preserve">РД-11-05-2007</t>
  </si>
  <si>
    <t xml:space="preserve">Порядок ведения ОЖР (старый)</t>
  </si>
  <si>
    <t xml:space="preserve">Заменён 1026/пр</t>
  </si>
  <si>
    <t xml:space="preserve">ПП РФ № 815</t>
  </si>
  <si>
    <t xml:space="preserve">Обязательный перечень нац. стандартов</t>
  </si>
  <si>
    <t xml:space="preserve">❌ упразднён 01.09.2024</t>
  </si>
  <si>
    <t xml:space="preserve">Известная ловушка</t>
  </si>
  <si>
    <t xml:space="preserve">ПП РФ № 87</t>
  </si>
  <si>
    <t xml:space="preserve">Состав разделов проектной документации</t>
  </si>
  <si>
    <t xml:space="preserve">⚠ проверить</t>
  </si>
  <si>
    <t xml:space="preserve">Приказ № 421/пр</t>
  </si>
  <si>
    <t xml:space="preserve">Методика определения сметной стоимости</t>
  </si>
  <si>
    <t xml:space="preserve">Сметное дело</t>
  </si>
  <si>
    <t xml:space="preserve">Приказ № 812/пр</t>
  </si>
  <si>
    <t xml:space="preserve">Нормативы накладных расходов (НР)</t>
  </si>
  <si>
    <t xml:space="preserve">Приказ № 774/пр</t>
  </si>
  <si>
    <t xml:space="preserve">Нормативы сметной прибыли (СП)</t>
  </si>
  <si>
    <t xml:space="preserve">Приказ № 841/пр</t>
  </si>
  <si>
    <t xml:space="preserve">НМЦК и смета контракта</t>
  </si>
  <si>
    <t xml:space="preserve">B2G</t>
  </si>
  <si>
    <t xml:space="preserve">ФСНБ-2022 / ФЕР-2001 / ТЕР-2001</t>
  </si>
  <si>
    <t xml:space="preserve">Сметно-нормативная база</t>
  </si>
  <si>
    <t xml:space="preserve">⚠ проверить индекс</t>
  </si>
  <si>
    <t xml:space="preserve">Индексы Минстроя — с датой/кварталом</t>
  </si>
  <si>
    <t xml:space="preserve">Ст. 710 ГК РФ</t>
  </si>
  <si>
    <t xml:space="preserve">Экономия подрядчика</t>
  </si>
  <si>
    <t xml:space="preserve">Оформление — только ПТР/РД</t>
  </si>
  <si>
    <t xml:space="preserve">Ст. 743 ГК РФ</t>
  </si>
  <si>
    <t xml:space="preserve">Техдокументация и объём работ</t>
  </si>
  <si>
    <t xml:space="preserve">Работы без задания → риск неоплаты</t>
  </si>
  <si>
    <t xml:space="preserve">44-ФЗ / 223-ФЗ</t>
  </si>
  <si>
    <t xml:space="preserve">Госзакупки (контур B2G)</t>
  </si>
  <si>
    <t xml:space="preserve">Применять для ЕТК/Т Плюс, не для коммерции</t>
  </si>
  <si>
    <t xml:space="preserve">РЕЕСТР ОБЪЕКТОВ УСС (провенанс данных базы)</t>
  </si>
  <si>
    <t xml:space="preserve">Объекты, из расчётов по которым собрана база. Суммы — ⚠ ОЦЕНКА, не цена контракта. Артефакты будут догружены для детального анализа.</t>
  </si>
  <si>
    <t xml:space="preserve">ID</t>
  </si>
  <si>
    <t xml:space="preserve">Объект</t>
  </si>
  <si>
    <t xml:space="preserve">Заказчик / тип</t>
  </si>
  <si>
    <t xml:space="preserve">Разделы</t>
  </si>
  <si>
    <t xml:space="preserve">Инж. показатель</t>
  </si>
  <si>
    <t xml:space="preserve">Сумма ⚠ (б/НДС)</t>
  </si>
  <si>
    <t xml:space="preserve">SI-2026-EKB-001</t>
  </si>
  <si>
    <t xml:space="preserve">ЖК «Астон», Жилой дом №1 (27 эт.)</t>
  </si>
  <si>
    <t xml:space="preserve">ООО «Астон.Екб» — коммерция (ГК РФ)</t>
  </si>
  <si>
    <t xml:space="preserve">ОВ+ВК (секц. 1.1+1.3)</t>
  </si>
  <si>
    <t xml:space="preserve">CNTR.16-2023, стадия Р</t>
  </si>
  <si>
    <t xml:space="preserve">≈104 млн</t>
  </si>
  <si>
    <t xml:space="preserve">ГУ-5%/44-ФЗ не применяются</t>
  </si>
  <si>
    <t xml:space="preserve">SI-2026-EKB-NVT</t>
  </si>
  <si>
    <t xml:space="preserve">ТК «Новотэкс», склад+АБК (Новокольцовский тр.)</t>
  </si>
  <si>
    <t xml:space="preserve">ООО «ПилотЭнергоСервис»</t>
  </si>
  <si>
    <t xml:space="preserve">ОВ+ВК+ЭОМ+ЭМ+ЭО+ЭГ+ПС</t>
  </si>
  <si>
    <t xml:space="preserve">Q=1793,8 кВт (1,542 Гкал/ч)</t>
  </si>
  <si>
    <t xml:space="preserve">≈30,1 (оценка) / ЭС+ПС факт ≈31,6</t>
  </si>
  <si>
    <t xml:space="preserve">v2: подтянуты факт. цены ЭС+ПС (счета 06.2026). НДС 22%. 🔴 факт ЭС+ПС ≈31,6 млн &gt; прежней оценки всего периметра — периметр расширен, себестоимость пересчитать</t>
  </si>
  <si>
    <t xml:space="preserve">SI-2026-EKB-ZD2</t>
  </si>
  <si>
    <t xml:space="preserve">Жилой дом №2, «Азина–Луначарского»</t>
  </si>
  <si>
    <t xml:space="preserve">ЭЛИТА-ПЕТЕРБУРГ → ЕТК/Т Плюс — B2G</t>
  </si>
  <si>
    <t xml:space="preserve">ТМ+АТМ+УКУТ (+ЦТП «Перспектива»)</t>
  </si>
  <si>
    <t xml:space="preserve">Q=2,42 Гкал/ч; 223 поз. ТМ</t>
  </si>
  <si>
    <t xml:space="preserve">под КП</t>
  </si>
  <si>
    <t xml:space="preserve">44-ФЗ/ГУ-5% применимы</t>
  </si>
  <si>
    <t xml:space="preserve">УРОКИ УСС + АЛГОРИТМЫ РАСЧЁТА</t>
  </si>
  <si>
    <t xml:space="preserve">Вшиты в промт агента. Здесь — как справочник для калибровки оценок.</t>
  </si>
  <si>
    <t xml:space="preserve">Урок / алгоритм</t>
  </si>
  <si>
    <t xml:space="preserve">Суть</t>
  </si>
  <si>
    <t xml:space="preserve">Куда применять</t>
  </si>
  <si>
    <t xml:space="preserve">Урок-Марина (цены)</t>
  </si>
  <si>
    <t xml:space="preserve">Синтетические цены «по классу» промахивались против счетов в 2–11×. По тяжёлому оборудованию — только живое КП.</t>
  </si>
  <si>
    <t xml:space="preserve">Оборудование → пометка «под КП»</t>
  </si>
  <si>
    <t xml:space="preserve">Урок-Нет ЛСР</t>
  </si>
  <si>
    <t xml:space="preserve">Без ЛСР/НМЦК/договора это финразведка ±15–25%, не финмодель и не цена контракта.</t>
  </si>
  <si>
    <t xml:space="preserve">Каждый вывод — с коридором точности</t>
  </si>
  <si>
    <t xml:space="preserve">Урок-Сходимость</t>
  </si>
  <si>
    <t xml:space="preserve">Сумма по разделу = шапка источника до рубля. Разошлось → искать выпавшую позицию.</t>
  </si>
  <si>
    <t xml:space="preserve">ВОР-каркас, проверка спецификаций</t>
  </si>
  <si>
    <t xml:space="preserve">Урок-РД (охват)</t>
  </si>
  <si>
    <t xml:space="preserve">Считаем только то, что в переданной РД. Нет раздела — «вне охвата», не угадываем.</t>
  </si>
  <si>
    <t xml:space="preserve">Паспорт: охват / вне охвата</t>
  </si>
  <si>
    <t xml:space="preserve">Урок-Климат</t>
  </si>
  <si>
    <t xml:space="preserve">Екб −32 °C; наружные и «мокрые» работы — от климатического окна назад.</t>
  </si>
  <si>
    <t xml:space="preserve">Наружные сети, сроки</t>
  </si>
  <si>
    <t xml:space="preserve">Урок-НДС</t>
  </si>
  <si>
    <t xml:space="preserve">В данных УСС были и 20%, и 22%. Ставку не зашивать, уточнять по дате/типу заказчика.</t>
  </si>
  <si>
    <t xml:space="preserve">Себестоимость, договор</t>
  </si>
  <si>
    <t xml:space="preserve">Урок-Тип заказчика</t>
  </si>
  <si>
    <t xml:space="preserve">Коммерция — ГК РФ (ГУ-5%/44-ФЗ нет); B2G — 44-ФЗ, ГУ-5%/БГ применимы.</t>
  </si>
  <si>
    <t xml:space="preserve">Паспорт, договорной контур</t>
  </si>
  <si>
    <t xml:space="preserve">Урок-Санкции</t>
  </si>
  <si>
    <t xml:space="preserve">Импортный риск концентрировать в один узел и называть; аналоги: Ридан, ТехноНИКОЛЬ, ANTARUS.</t>
  </si>
  <si>
    <t xml:space="preserve">Оборудование, замены через ПТР</t>
  </si>
  <si>
    <t xml:space="preserve">Алгоритм: гидравлика</t>
  </si>
  <si>
    <t xml:space="preserve">G=Q/(c·Δt) → Qv=G/ρ → v и R по диаметру; двойная сверка «скорость И R».</t>
  </si>
  <si>
    <t xml:space="preserve">ГИП / диаметры</t>
  </si>
  <si>
    <t xml:space="preserve">Алгоритм: себестоимость</t>
  </si>
  <si>
    <t xml:space="preserve">Снизу вверх: оборуд.+материалы+СМР+ПТО (прямые) + косвенные (лаб., логист., ВЗиС, ОПР, резерв).</t>
  </si>
  <si>
    <t xml:space="preserve">Эконом / вердикт</t>
  </si>
  <si>
    <t xml:space="preserve">Алгоритм: НР/СП репер</t>
  </si>
  <si>
    <t xml:space="preserve">При отсутствии ЛСР СМР ≈ % от материалов по реперу живой сметы ОКО (НР 90% / СП 46%).</t>
  </si>
  <si>
    <t xml:space="preserve">СМР черновой скелет</t>
  </si>
  <si>
    <t xml:space="preserve">Алгоритм: лид-тайм</t>
  </si>
  <si>
    <t xml:space="preserve">Крайний срок заказа = дата потребности − лид-тайм; светофор 🔴≤14дн/🟡2–6нед/🟢&gt;6нед.</t>
  </si>
  <si>
    <t xml:space="preserve">Карта лид-таймов</t>
  </si>
  <si>
    <t xml:space="preserve">ТК «НОВОТЭКС» (SI-2026-EKB-NVT) — ПОЗИЦИИ ПО ФАКТУ СЧЕТОВ/КП · ЭС+ПС</t>
  </si>
  <si>
    <t xml:space="preserve">Провенанс цен базы v2. Авторитетные выборки ЭТМ «посл» (23.06.2026) + «со скидкой» + живые счета. Цены б/НДС; НДС Новотэкс 22%. ⚠ Это цены КП/счетов на дату — срок годности 90 дней. Двойные позиции (2 канала) см. лист «Расчёт vs Прайс».</t>
  </si>
  <si>
    <t xml:space="preserve">Раздел</t>
  </si>
  <si>
    <t xml:space="preserve">Наименование</t>
  </si>
  <si>
    <t xml:space="preserve">Производитель</t>
  </si>
  <si>
    <t xml:space="preserve">Кол-во</t>
  </si>
  <si>
    <t xml:space="preserve">Цена б/НДС ₽</t>
  </si>
  <si>
    <t xml:space="preserve">Сумма б/НДС ₽</t>
  </si>
  <si>
    <t xml:space="preserve">Источник (документ, дата)</t>
  </si>
  <si>
    <t xml:space="preserve">▼ ЭГ · Молниезащита/заземление   —   позиций: 20   |   ИТОГО раздела б/НДС: 719 010 ₽</t>
  </si>
  <si>
    <t xml:space="preserve">ЭГ</t>
  </si>
  <si>
    <t xml:space="preserve">Пруток 8 мм горячеоцинкованный</t>
  </si>
  <si>
    <t xml:space="preserve">DKC</t>
  </si>
  <si>
    <t xml:space="preserve">ЭТМ №502/5172441367 «со скидкой», 08.06.2026</t>
  </si>
  <si>
    <t xml:space="preserve">Полоса 40х4 горячеоцинкованная</t>
  </si>
  <si>
    <t xml:space="preserve">Держатель универсальный с бетоном</t>
  </si>
  <si>
    <t xml:space="preserve">Держатель безболтовой</t>
  </si>
  <si>
    <t xml:space="preserve">Соединитель универсальный</t>
  </si>
  <si>
    <t xml:space="preserve">Соединитель пруток - полоса, 80х80 мм</t>
  </si>
  <si>
    <t xml:space="preserve">Зажим параллельный D8-10 мм</t>
  </si>
  <si>
    <t xml:space="preserve">Соединитель контрольный 8/25мм горячеоцинкованный</t>
  </si>
  <si>
    <t xml:space="preserve">Полоса стальная 40х5 хлыст 6 м HD</t>
  </si>
  <si>
    <t xml:space="preserve">КМ-профиль</t>
  </si>
  <si>
    <t xml:space="preserve">Полоса стальная 40х5 мм</t>
  </si>
  <si>
    <t xml:space="preserve">ЕЗЕТЕК</t>
  </si>
  <si>
    <t xml:space="preserve">Полоса стальная 25х4 бухта 62 м HD</t>
  </si>
  <si>
    <t xml:space="preserve">Полоса стальная оцинкованная 25х4 мм</t>
  </si>
  <si>
    <t xml:space="preserve">Провод силовой ПуГВнг(А)-LS 1х25ж/з ТРТС</t>
  </si>
  <si>
    <t xml:space="preserve">Металлист</t>
  </si>
  <si>
    <t xml:space="preserve">Провод силовой ПуГВнг(А)-LS 1х6ж/з ТРТС</t>
  </si>
  <si>
    <t xml:space="preserve">Провод силовой ПуГВнг(А)-LS 1х4ж/з ТРТС</t>
  </si>
  <si>
    <t xml:space="preserve">Сжим ответвительный У733М</t>
  </si>
  <si>
    <t xml:space="preserve">УПП-5 ВОС г.СПб</t>
  </si>
  <si>
    <t xml:space="preserve">Скоба-держатель полосы с болтом</t>
  </si>
  <si>
    <t xml:space="preserve">Коробка уравнивания потенциалов, 10 зажимов, 6 вводов, 25 мм, 120х80х50 мм, IP55</t>
  </si>
  <si>
    <t xml:space="preserve">'Герметик противопожарный терморасширяющийся ''ОГНЕЗА-ГТ'', туба 310 мл., цвет серый'''</t>
  </si>
  <si>
    <t xml:space="preserve">Огнеза</t>
  </si>
  <si>
    <t xml:space="preserve">▼ ЭОМ · Освещ.+силовое (ред.2)   —   позиций: 21   |   ИТОГО раздела б/НДС: 259 407 ₽</t>
  </si>
  <si>
    <t xml:space="preserve">ЭОМ</t>
  </si>
  <si>
    <t xml:space="preserve">ЯТПР-0,25-220/12-УХЛ4 IP31</t>
  </si>
  <si>
    <t xml:space="preserve">ОЩ Завод Энергия УСК</t>
  </si>
  <si>
    <t xml:space="preserve">ЭТМ №502/5172442751 «со скидкой», 08.06.2026</t>
  </si>
  <si>
    <t xml:space="preserve">Ящик с понижающим трансформатором ЯТПР-0.25-220/12 УХЛ2 IP54</t>
  </si>
  <si>
    <t xml:space="preserve">Светильник светодиодный настенный потолочный для ЖКХ ДБО85-16-001 Tablette 940</t>
  </si>
  <si>
    <t xml:space="preserve">Светильник светодиодный потолочный ДПО52-40-802 Optimus 840</t>
  </si>
  <si>
    <t xml:space="preserve">Светильник ДПО52-40-842 Optimus EM3 DT 840</t>
  </si>
  <si>
    <t xml:space="preserve">Коробка ответвит. с 6 кабельными вводами д.25мм, IP55, 100х100х50мм</t>
  </si>
  <si>
    <t xml:space="preserve">Профиль Z-образный 3000 толщина 2.5мм</t>
  </si>
  <si>
    <t xml:space="preserve">Выключатель 1-клавишный проходной для открытой установки 10А IP54 ВС20-1-0-ФСр серый FORS (Форс) IEK</t>
  </si>
  <si>
    <t xml:space="preserve">IEK</t>
  </si>
  <si>
    <t xml:space="preserve">FORS Розетка 1-местная с заземлением для открытой установки 16А IP54 РСб20-3-ФБ белый ФОРС</t>
  </si>
  <si>
    <t xml:space="preserve">Кабель силовой ППГнг(А)-HF 2Х1.5ок(N) ТРТС</t>
  </si>
  <si>
    <t xml:space="preserve">ТЕХНОКАБЕЛЬ НПП</t>
  </si>
  <si>
    <t xml:space="preserve">Кабель силовой ППГ-Пнг(А)-HF 2х1,5ок(N)-0,66 ТРТС бухта 100м</t>
  </si>
  <si>
    <t xml:space="preserve">Кабэкс</t>
  </si>
  <si>
    <t xml:space="preserve">Кабель силовой ППГнг(A)-HF 3х1.5ок(N.PE)-0.66 ТРТС</t>
  </si>
  <si>
    <t xml:space="preserve">ЦВЕТЛИТ КЗ</t>
  </si>
  <si>
    <t xml:space="preserve">Кабель силовой ППГнг(А)-HF 3х1.5-0.66 однопровол  очный ТРТС</t>
  </si>
  <si>
    <t xml:space="preserve">Ореол</t>
  </si>
  <si>
    <t xml:space="preserve">Кабель силовой ППГнг(А)-HF 3Х2.5ок(N.PE) ТРТС</t>
  </si>
  <si>
    <t xml:space="preserve">Кабель силовой ППГнг(A)-HF 3х2.5ок(N.PE)-0.66 ТРТС</t>
  </si>
  <si>
    <t xml:space="preserve">Кабель силовой ППГнг(А)-HF 3х2,5 ок(N,PE)-0,66</t>
  </si>
  <si>
    <t xml:space="preserve">Кабель силовой ППГнг(А)-HF 5х4 ок(N,PE)-0,66</t>
  </si>
  <si>
    <t xml:space="preserve">Труба ПВХ гибкая гофрированная д.20мм легкая с протяжкой 50м серая</t>
  </si>
  <si>
    <t xml:space="preserve">Труба гладкая жесткая ПВХ 20 мм легкая серая (3м)</t>
  </si>
  <si>
    <t xml:space="preserve">Держатель для труб 20 мм в комплекте с защелкой и дюбелем</t>
  </si>
  <si>
    <t xml:space="preserve">▼ ЭМ · Силовое электрооборуд.   —   позиций: 62   |   ИТОГО раздела б/НДС: 12 001 266 ₽</t>
  </si>
  <si>
    <t xml:space="preserve">ЭМ</t>
  </si>
  <si>
    <t xml:space="preserve">Кабель-канал 110x50 IN-Liner FRONT DKC</t>
  </si>
  <si>
    <t xml:space="preserve">ЭТМ №502/5175372 «посл», 23.06.2026</t>
  </si>
  <si>
    <t xml:space="preserve">Накладка на стык 110х50 IN-Liner FRONT</t>
  </si>
  <si>
    <t xml:space="preserve">Угол плоский Г-образный 110х50 IN-Liner FRONT</t>
  </si>
  <si>
    <t xml:space="preserve">Угол внутренний изменяемый 110х50 IN-Liner FRONT</t>
  </si>
  <si>
    <t xml:space="preserve">Заглушка 110х50 IN-Liner FRONT</t>
  </si>
  <si>
    <t xml:space="preserve">Разделитель универсальный SEP-N 60/50 IN-Liner</t>
  </si>
  <si>
    <t xml:space="preserve">Канал напольный СSP-F 75x17 серый</t>
  </si>
  <si>
    <t xml:space="preserve">Труба гофрированная ПНД легкая безгалогенная (HF) стойкая к ультрафиолету зонд д20</t>
  </si>
  <si>
    <t xml:space="preserve">Промрукав</t>
  </si>
  <si>
    <t xml:space="preserve">Труба гофрированная ПВХ 20 мм с протяжкой легкая серая (100м)</t>
  </si>
  <si>
    <t xml:space="preserve">Труба ПВХ жёсткая гладкая д.20мм, лёгкая, 2м, цвет серый</t>
  </si>
  <si>
    <t xml:space="preserve">Держатель с защелкой и дюбелем 20 мм</t>
  </si>
  <si>
    <t xml:space="preserve">Труба гофрированная ПВХ 32 мм с протяжкой легкая серая (25м)</t>
  </si>
  <si>
    <t xml:space="preserve">Лоток лестничный 100х300, лонжерон 1,5 мм, L 3 м</t>
  </si>
  <si>
    <t xml:space="preserve">Угол горизонтальный 90 градусов 100x300 R300 в комплекте крепежные элементы соединительные пластины</t>
  </si>
  <si>
    <t xml:space="preserve">уп</t>
  </si>
  <si>
    <t xml:space="preserve">Шпилькa М8х1000 oцинкoвaннaя</t>
  </si>
  <si>
    <t xml:space="preserve">Гайка DIN 6923 М8 насечка препятствующая откручиванию (1 уп.-100 шт.)</t>
  </si>
  <si>
    <t xml:space="preserve">Шайба М8 узкая DIN125</t>
  </si>
  <si>
    <t xml:space="preserve">Анкер М10 стандартный со шпилькой</t>
  </si>
  <si>
    <t xml:space="preserve">Лоток перфорированный 100х50 L3000</t>
  </si>
  <si>
    <t xml:space="preserve">Консоль универсальная легкая основание 150 мм</t>
  </si>
  <si>
    <t xml:space="preserve">Профиль П-образный PSM L=600 толщина 2.5мм</t>
  </si>
  <si>
    <t xml:space="preserve">Крепление для профилей BPL29/BPM29 неоцинкованное</t>
  </si>
  <si>
    <t xml:space="preserve">Консоль универсальная основание 300 мм</t>
  </si>
  <si>
    <t xml:space="preserve">Телескопическая алюминиевая колонна, 2.7 - 4.2м, цвет белый</t>
  </si>
  <si>
    <t xml:space="preserve">Напольная башенка BUS, 12 модулей, серая</t>
  </si>
  <si>
    <t xml:space="preserve">Рамка Avanti для IF и Сотто (Sotto) 6 мод белая</t>
  </si>
  <si>
    <t xml:space="preserve">Рамка Avanti для IF и Сотто (Sotto) 4 мод белая</t>
  </si>
  <si>
    <t xml:space="preserve">Розетка модульная, 2P+E, с з/ш, Avanti, белое облако, 2 модуля</t>
  </si>
  <si>
    <t xml:space="preserve">Avanti Розетка ''Красный квадрат'', 2P+E, с защитными шторками, 2 модульная</t>
  </si>
  <si>
    <t xml:space="preserve">FORS Розетка 2-местная с заземлением для открытой установки 16А IP54 РСб22-3-ФБ белый ФОРС</t>
  </si>
  <si>
    <t xml:space="preserve">Кабель силовой ВБШвнг(А)-LS 5х25,0 мк (N,PE)-1 ТРТС</t>
  </si>
  <si>
    <t xml:space="preserve">ЭЛКАБ</t>
  </si>
  <si>
    <t xml:space="preserve">Кабель силовой ВБШвнг(А)-LS 5х16мк(N,PE)-1 ТРТС</t>
  </si>
  <si>
    <t xml:space="preserve">НКЗ-НН</t>
  </si>
  <si>
    <t xml:space="preserve">Кабель силовой ВБШвнг(А)-LS 5х150,0 мс (N,PE)-1 ТРТС</t>
  </si>
  <si>
    <t xml:space="preserve">Уплотнитель кабельных проходов термоусаживаемый одиночной прокладки УКПтО-115/29</t>
  </si>
  <si>
    <t xml:space="preserve">КВТ</t>
  </si>
  <si>
    <t xml:space="preserve">Труба гофрированная гибкая двустенная 110 мм с протяжкой с муфтой SN8 500Н в бухте 50м красная</t>
  </si>
  <si>
    <t xml:space="preserve">Труба жесткая двустенная для кабельной канализации (12 кПа) 110мм 5.7м</t>
  </si>
  <si>
    <t xml:space="preserve">Кабель силовой ППГнг(А)-HF 5х150,0 мс (N,PE) - 1 ТРТС</t>
  </si>
  <si>
    <t xml:space="preserve">Кабель силовой ППГнг(А)-HF 5х150мс(N.PE)-1 ТРТС</t>
  </si>
  <si>
    <t xml:space="preserve">Кабель силовой ППГнг(А)-HF 5x25 мк(N, PE)-0.66</t>
  </si>
  <si>
    <t xml:space="preserve">Кабель силовой ППГнг(А)-HF 5х16,0 ок (N,PE) - 0,66 кВ ТРТС</t>
  </si>
  <si>
    <t xml:space="preserve">Кабель силовой ППГнг(А)-HF 5х10,0 ок (N,PE) - 0,66 кВ ТРТС</t>
  </si>
  <si>
    <t xml:space="preserve">Кабель силовой ППГнг(А)-HF 5x6 ок(N, PE)-0.66</t>
  </si>
  <si>
    <t xml:space="preserve">Кабель силовой ППГнг(А)-HF 3х4ок(N,PE)-0,66       барабан ТРТС</t>
  </si>
  <si>
    <t xml:space="preserve">Кабель силовой ППГнг(А)-HF 5х2,5 ок(N,PE)-0,66(100м)</t>
  </si>
  <si>
    <t xml:space="preserve">Кабель силовой ППГнг(А)-HF 5х1,5 ок(N,PE)-0,66(100м)</t>
  </si>
  <si>
    <t xml:space="preserve">Кабель силовой ППГнг(А)-HF 4х1,5 ок(N)-0,66 100м  ТРТС</t>
  </si>
  <si>
    <t xml:space="preserve">Кабель силовой ППГнг(A)-FRHF 5х95мс(N.РЕ)-1 ТРТС</t>
  </si>
  <si>
    <t xml:space="preserve">Кабель силовой ППГнг(А)-FRHF 5x4 ок(N, PE)-0.66</t>
  </si>
  <si>
    <t xml:space="preserve">Кабель силовой ППГнг(А)-FRHF 3x2,5 ок(N, PE)-0.66</t>
  </si>
  <si>
    <t xml:space="preserve">Кабель контрольный КППГнг(А)-FRHF 7х1.5</t>
  </si>
  <si>
    <t xml:space="preserve">Конкорд</t>
  </si>
  <si>
    <t xml:space="preserve">Муфта кабельная концевая 5ПКТп(б)-1-150/240(Б) нг-LS</t>
  </si>
  <si>
    <t xml:space="preserve">Муфта кабельная концевая 5ПКТп(б)-1-16/25(Б) нг-LS</t>
  </si>
  <si>
    <t xml:space="preserve">▼ ЭО · Электроосвещение   —   позиций: 58   |   ИТОГО раздела б/НДС: 8 911 500 ₽</t>
  </si>
  <si>
    <t xml:space="preserve">ЭО</t>
  </si>
  <si>
    <t xml:space="preserve">Светильник светодиодный промышленный ДСП03-180-102 Orion 750</t>
  </si>
  <si>
    <t xml:space="preserve">ЭТМ №502/75517309 «посл», 23.06.2026</t>
  </si>
  <si>
    <t xml:space="preserve">Световой указатель BS-SPUTNIK-53-S1-INEXI2</t>
  </si>
  <si>
    <t xml:space="preserve">Белый свет</t>
  </si>
  <si>
    <t xml:space="preserve">Светильник светодиодный потолочный ДПП03-24-001 850</t>
  </si>
  <si>
    <t xml:space="preserve">Светильник светодиодный потолочный ДПО52-40-102 Optimus 840</t>
  </si>
  <si>
    <t xml:space="preserve">Светильник ДПО52-40-142 Optimus EM3 DT 840</t>
  </si>
  <si>
    <t xml:space="preserve">Светильник светодиодный ламповый промышленный ДСП44-1x11-001 Flagman LED</t>
  </si>
  <si>
    <t xml:space="preserve">Кабель ППГ нг(А)HF 3х2.5 0.66кВ (бухта)</t>
  </si>
  <si>
    <t xml:space="preserve">ЭлПром</t>
  </si>
  <si>
    <t xml:space="preserve">Кабель силовой ППГнг(А)-FRHF 2х1,5 ок(N)-0,66</t>
  </si>
  <si>
    <t xml:space="preserve">Кабель силовой ППГ-Пнг(А)-FRHF 3x1,5ок(N,PE)-0.66  100м ТРТС</t>
  </si>
  <si>
    <t xml:space="preserve">Кабель силовой ППГнг(А)-FRHF 4х1,5 ок(N)-0,66</t>
  </si>
  <si>
    <t xml:space="preserve">Кабель ППГ нг(А)FRHF 2х2.5 0.66кВ</t>
  </si>
  <si>
    <t xml:space="preserve">Кабель ППГ нг(А)FRHF 4х2.5 0.66кВ</t>
  </si>
  <si>
    <t xml:space="preserve">Кабель силовой КППГнг(A)-HF 10х1.5 ТРТС</t>
  </si>
  <si>
    <t xml:space="preserve">НЕ УКАЗАН-Е</t>
  </si>
  <si>
    <t xml:space="preserve">Кабель контрольный КППГнг(А)-HF 14х2.5</t>
  </si>
  <si>
    <t xml:space="preserve">Кабель контрольный КППГнг(А)-FRHF 14х1.5</t>
  </si>
  <si>
    <t xml:space="preserve">Кабель силовой КППГнг(A)-FRHF 10х1.5 ТРТС</t>
  </si>
  <si>
    <t xml:space="preserve">Кабель силовой ВВГнг(А)-ХЛ 5х95 мc(N.PE)-1 ТРТС</t>
  </si>
  <si>
    <t xml:space="preserve">Направляющая SPC под лоток основание 100 мм</t>
  </si>
  <si>
    <t xml:space="preserve">Шпилька М8х2000</t>
  </si>
  <si>
    <t xml:space="preserve">Гайка шестигранная М8 оцинкованная СМ110800 ГОСТ 5927-70</t>
  </si>
  <si>
    <t xml:space="preserve">Шайба М8 кузовная DIN9021</t>
  </si>
  <si>
    <t xml:space="preserve">Лента монтажная перфорированная 25х0.8</t>
  </si>
  <si>
    <t xml:space="preserve">Гайка соединительная М8х25</t>
  </si>
  <si>
    <t xml:space="preserve">Пластина монтажная вертикальная</t>
  </si>
  <si>
    <t xml:space="preserve">Винт М6х20 гладкая головка квадратный подголовник</t>
  </si>
  <si>
    <t xml:space="preserve">Гайка М6 насечка препятствующая откручиванию (1 уп.-200 шт.)</t>
  </si>
  <si>
    <t xml:space="preserve">Болт шестигранный М6х20 (1 уп.-200 шт.)</t>
  </si>
  <si>
    <t xml:space="preserve">Шайба соединение проволoчного лотка (в соединении с винтом М6х20)</t>
  </si>
  <si>
    <t xml:space="preserve">Анкер латунный забивной М8</t>
  </si>
  <si>
    <t xml:space="preserve">Крепдил</t>
  </si>
  <si>
    <t xml:space="preserve">Металлорукав в ПВХ изоляции МРПИ НГ LS  20  (50 м/уп.) черный ГОФРОМАТИК</t>
  </si>
  <si>
    <t xml:space="preserve">ЗЭТА Новосибирск</t>
  </si>
  <si>
    <t xml:space="preserve">Резьбовой крепежный элемент с наружной резьбой РКН-20 У2 IP54 ГОФРОМАТИК</t>
  </si>
  <si>
    <t xml:space="preserve">Коробка протяж. метал. У-994 110х110х80 IP54 с уплотн.</t>
  </si>
  <si>
    <t xml:space="preserve">Саморез кровельный 4.8х35 RAL7024 сверло №1 шайба d=14мм с EPDM прокладкой</t>
  </si>
  <si>
    <t xml:space="preserve">Руфкомплект</t>
  </si>
  <si>
    <t xml:space="preserve">Саморез кровельный 4.8х35 RAL8017 сверло №1 шайба d=14мм с EPDM прокладкой</t>
  </si>
  <si>
    <t xml:space="preserve">Шайба DIN 127B М8 гроверная покрытие цинк</t>
  </si>
  <si>
    <t xml:space="preserve">Шайба DIN 127B М6 гроверная покрытие цинк</t>
  </si>
  <si>
    <t xml:space="preserve">Адаптер труба-труба АТТ-32 У2 IP43 ГОФРОМАТИК</t>
  </si>
  <si>
    <t xml:space="preserve">Адаптер труба-труба АТТ-20 У2 IP43 ГОФРОМАТИК</t>
  </si>
  <si>
    <t xml:space="preserve">Профиль Z-образный 50х50 L3000 2.5мм горячеоцинкованный</t>
  </si>
  <si>
    <t xml:space="preserve">ФОРС Выключатель двухклавишный наружный IP54</t>
  </si>
  <si>
    <t xml:space="preserve">Акриловый противопожарный герметик ОГНЕЗА-ВГ, туба 310 мл., цвет красный</t>
  </si>
  <si>
    <t xml:space="preserve">Кронштейн КР-4 D 48мм L 500мм настенный регулируемый угол белый</t>
  </si>
  <si>
    <t xml:space="preserve">Светильник светодиодный настенный потолочный для ЖКХ ДБО88-25-001 CDR 940</t>
  </si>
  <si>
    <t xml:space="preserve">Перегородка SEP L3000 Н50</t>
  </si>
  <si>
    <t xml:space="preserve">▼ ПС · Пожарная сигнализация   —   позиций: 88   |   ИТОГО раздела б/НДС: 9 717 767 ₽</t>
  </si>
  <si>
    <t xml:space="preserve">ПС</t>
  </si>
  <si>
    <t xml:space="preserve">Извещатель пожарный аспирационный ИП 212-5 ИПА</t>
  </si>
  <si>
    <t xml:space="preserve">ЭТМ №502/5175374 «посл», 23.06.2026</t>
  </si>
  <si>
    <t xml:space="preserve">Клипса для ИПА</t>
  </si>
  <si>
    <t xml:space="preserve">Комплект наклеек для ИПА</t>
  </si>
  <si>
    <t xml:space="preserve">Труба гладкая жесткая ПВХ 25 мм легкая серая (3м)</t>
  </si>
  <si>
    <t xml:space="preserve">Трос стальной 4 мм</t>
  </si>
  <si>
    <t xml:space="preserve">Коуш стальной оцинкованный под трос D4</t>
  </si>
  <si>
    <t xml:space="preserve">Зажим для стального троса M5</t>
  </si>
  <si>
    <t xml:space="preserve">Талреп DIN 1480 М8 крюк-кольцо покрытие цинк</t>
  </si>
  <si>
    <t xml:space="preserve">Рым-болт M10</t>
  </si>
  <si>
    <t xml:space="preserve">Шaйбa М10 кузoвнaя DIN9021 oцинкoвaннaя СМ121000</t>
  </si>
  <si>
    <t xml:space="preserve">Муфта труба-труба 25 мм IP67</t>
  </si>
  <si>
    <t xml:space="preserve">Угол С-образный 25мм IP67 труба-труба 90 градусов</t>
  </si>
  <si>
    <t xml:space="preserve">Гайка шестигранная М10</t>
  </si>
  <si>
    <t xml:space="preserve">Оповещатель комбинированный</t>
  </si>
  <si>
    <t xml:space="preserve">ЭиА</t>
  </si>
  <si>
    <t xml:space="preserve">Оповещатель световой КРИСТАЛЛ-12 Выход</t>
  </si>
  <si>
    <t xml:space="preserve">Оповещатель световой КРИСТАЛЛ-12 Стрелка вправо ПИКТ (зеленый)</t>
  </si>
  <si>
    <t xml:space="preserve">Оповещатель световой КРИСТАЛЛ-12 Стрелка влево ПИКТ (зеленый)</t>
  </si>
  <si>
    <t xml:space="preserve">Кабель (провод) КСРПнг(А)-FRHF 1х2х1.38мм</t>
  </si>
  <si>
    <t xml:space="preserve">Паритет</t>
  </si>
  <si>
    <t xml:space="preserve">Кабель (провод) КСРПнг(А)-FRHF 1х2х1.13мм</t>
  </si>
  <si>
    <t xml:space="preserve">Кабель (провод) КСРПнг(А)-FRHF 2х2х0.80мм</t>
  </si>
  <si>
    <t xml:space="preserve">Кабель (провод) КСРПнг(А)-FRHF 1х2х0.80мм</t>
  </si>
  <si>
    <t xml:space="preserve">Щит монтажный ЩМП 800х600х300мм STE</t>
  </si>
  <si>
    <t xml:space="preserve">Коробка  монтажная огнестойкая КМ-О(4к) - IP41</t>
  </si>
  <si>
    <t xml:space="preserve">Гефест-СПб</t>
  </si>
  <si>
    <t xml:space="preserve">Лоток перфорированный 100х50 L2000</t>
  </si>
  <si>
    <t xml:space="preserve">Консоль с опорой ML 150 мм</t>
  </si>
  <si>
    <t xml:space="preserve">Анкер М8 усиленный со шпилькой</t>
  </si>
  <si>
    <t xml:space="preserve">Винт гладкая головка квадратный подголовник М6х16</t>
  </si>
  <si>
    <t xml:space="preserve">Шайба узкие поля М6</t>
  </si>
  <si>
    <t xml:space="preserve">Угол горизонтальный изменяемый СРО 0-45 градусов 50х100 1,2 мм крепежные элементы</t>
  </si>
  <si>
    <t xml:space="preserve">Упак</t>
  </si>
  <si>
    <t xml:space="preserve">Крышка на горизонтальный изменяемый угол СРО 0-45град. 100, 1,2 мм</t>
  </si>
  <si>
    <t xml:space="preserve">Крышка на лоток 100 мм L=2000мм с заземлением</t>
  </si>
  <si>
    <t xml:space="preserve">Перегородка SEP L2000 H50</t>
  </si>
  <si>
    <t xml:space="preserve">Профиль П-образный PSM L=300 толщина 2.5мм</t>
  </si>
  <si>
    <t xml:space="preserve">Крепление М8 профнастилу V-образное</t>
  </si>
  <si>
    <t xml:space="preserve">Шпилька М8х100</t>
  </si>
  <si>
    <t xml:space="preserve">Крепление настенное 100 мм вертикального монтажа</t>
  </si>
  <si>
    <t xml:space="preserve">Хомут-стяжка стальная 200x4,6 мм, 50 шт</t>
  </si>
  <si>
    <t xml:space="preserve">REXANT</t>
  </si>
  <si>
    <t xml:space="preserve">упак</t>
  </si>
  <si>
    <t xml:space="preserve">Пена двухкомпонентная огнезащитная, картридж 330 мл</t>
  </si>
  <si>
    <t xml:space="preserve">Пистолет для двухкомпонентной пены</t>
  </si>
  <si>
    <t xml:space="preserve">Миксер для двухкомпонентной пены</t>
  </si>
  <si>
    <t xml:space="preserve">Хомут P6.6 стандартный, черный 2,5x100</t>
  </si>
  <si>
    <t xml:space="preserve">Маркировка для кабеля треугольник 58/55</t>
  </si>
  <si>
    <t xml:space="preserve">Фломастер маркировочный 0.4мм черный</t>
  </si>
  <si>
    <t xml:space="preserve">Заглушка для труб 25 мм IP40</t>
  </si>
  <si>
    <t xml:space="preserve">Угол плоский Т-образный 25мм TI25G</t>
  </si>
  <si>
    <t xml:space="preserve">ИТОГО ЭС+ПС (авторитетные выборки ЭТМ), б/НДС</t>
  </si>
  <si>
    <t xml:space="preserve">⚠ ОЦЕНКА закупки ЭС+ПС, не смета. Живые счета Фобос-М/Лайта/СК Урала — отдельно (частично дублируют ПС-периметр, не суммировать вслепую)</t>
  </si>
  <si>
    <t xml:space="preserve">▼ ЖИВЫЕ СЧЕТА ПОСТАВЩИКОВ (не-ЭТМ) — отдельные документы</t>
  </si>
  <si>
    <t xml:space="preserve">СИРИУС ППКУП / С2000-КДЛ / С2000-БИ / ШПС-12 / С2000-СП1 (комплект Болид+СИРИУС)</t>
  </si>
  <si>
    <t xml:space="preserve">Болид/СИРИУС</t>
  </si>
  <si>
    <t xml:space="preserve">Фобос-М, счёт №ЦБ-1164, 10.06.2026 (б/НДС ~221к+НДС22%)</t>
  </si>
  <si>
    <t xml:space="preserve">Пакет Рубеж/Болид/аспирация + аспирац. трасса АБС (КП)</t>
  </si>
  <si>
    <t xml:space="preserve">Рубеж/Экопласт</t>
  </si>
  <si>
    <t xml:space="preserve">ТехноЛайт(Лайта) КП №МЛР00051495, 24.06.2026 — КП, не счёт; item ИП212 «нужен новый запрос»</t>
  </si>
  <si>
    <t xml:space="preserve">Кабель-канал/держатели/трубы/метизы ПожТехКабель</t>
  </si>
  <si>
    <t xml:space="preserve">ПожТехКабель</t>
  </si>
  <si>
    <t xml:space="preserve">ТехноЛайт(Лайта) счёт-договор №МЛР00050848, 22.06.2026</t>
  </si>
  <si>
    <t xml:space="preserve">Труба ВГП Ду20/25/32 + э/св 57 (сталь)</t>
  </si>
  <si>
    <t xml:space="preserve">СК Урала</t>
  </si>
  <si>
    <t xml:space="preserve">СК Урала счета №10891 (08.06) + №12094 (24.06.2026)</t>
  </si>
  <si>
    <t xml:space="preserve">Эмаль ПФ-115 ГОСТ 6465-76 (желт./изумруд), 28 шт</t>
  </si>
  <si>
    <t xml:space="preserve">Радуга</t>
  </si>
  <si>
    <t xml:space="preserve">Гамма цвета (ИП Шемякин) счёт №364, 08.06.2026</t>
  </si>
  <si>
    <t xml:space="preserve">Керамоволокно Ceraterm/Cerachem Blanket, 11 рул</t>
  </si>
  <si>
    <t xml:space="preserve">УралСтройГруп заказ №1311, 19.06.2026</t>
  </si>
  <si>
    <t xml:space="preserve">Оснастка</t>
  </si>
  <si>
    <t xml:space="preserve">Аренда подъёмников ножничных DINGLI JCPT (10/12/14/16м) — суточно</t>
  </si>
  <si>
    <t xml:space="preserve">сут</t>
  </si>
  <si>
    <t xml:space="preserve">СтройВпрокат КП (аренда). Механизация/ВЗиС, не материал</t>
  </si>
  <si>
    <t xml:space="preserve">Услуги</t>
  </si>
  <si>
    <t xml:space="preserve">Электролаборатория ПСИ (приёмо-сдаточные испытания ЭС)</t>
  </si>
  <si>
    <t xml:space="preserve">3 КП: АВЭЛ 51 862 / ДГУ-Сервис 57 280 (НДС 5%) / Простр.света 160 000 б/НДС. См. «Расчёт vs Прайс»</t>
  </si>
  <si>
    <t xml:space="preserve">РАСЧЁТ vs ПРАЙС — где по одной позиции две цены (Урок-Марина)</t>
  </si>
  <si>
    <t xml:space="preserve">Подсветка по запросу: позиции, где есть ДВЕ цены на один предмет (разные каналы/модели/даты, либо оценка базы vs факт). Урок-Марина: синтетика «по классу» и один канал промахиваются кратно. Решение — живое КП + сверка проектом. Все ⚠/🔴 требуют действия.</t>
  </si>
  <si>
    <t xml:space="preserve">Позиция / что сравниваем</t>
  </si>
  <si>
    <t xml:space="preserve">Цена A (расчёт/КП-1) ₽</t>
  </si>
  <si>
    <t xml:space="preserve">Источник A</t>
  </si>
  <si>
    <t xml:space="preserve">Цена B (прайс/факт) ₽</t>
  </si>
  <si>
    <t xml:space="preserve">Источник B</t>
  </si>
  <si>
    <t xml:space="preserve">Δ ₽/ед</t>
  </si>
  <si>
    <t xml:space="preserve">Δ %</t>
  </si>
  <si>
    <t xml:space="preserve">Δ на объём ₽</t>
  </si>
  <si>
    <t xml:space="preserve">Вывод Родионыча</t>
  </si>
  <si>
    <t xml:space="preserve">Извещатель аспирационный ИПА</t>
  </si>
  <si>
    <t xml:space="preserve">КП Лайта: ИП212-1-А-R3 (Рубеж), 24.06</t>
  </si>
  <si>
    <t xml:space="preserve">Финал ПС: ИП212-5 ИПА (Спецавтоматика), 23.06</t>
  </si>
  <si>
    <t xml:space="preserve">🔴 Финальный канал дешевле на ~75к/шт (−34%). Модели РАЗНЫЕ — подтвердить у ГИП соответствие ТЗ/проекту до заказа. Экономия ~2,7 млн реальна только если проект допускает ИП212-5</t>
  </si>
  <si>
    <t xml:space="preserve">Труба аспирации Ø25</t>
  </si>
  <si>
    <t xml:space="preserve">КП Лайта: АБС спец. аспирац. (Экопласт)</t>
  </si>
  <si>
    <t xml:space="preserve">Финал ПС: ПВХ гладкая 25мм (DKC), 23.06</t>
  </si>
  <si>
    <t xml:space="preserve">🔴 РАЗВИЛКА ГИП, НЕ чистая экономия. АБС спец. — калиброванная под ИПДА; ПВХ дешевле в 6,4×. Δ≈1,9 млн, но менять только с письменным подтверждением проектировщика по спецификации аспирации</t>
  </si>
  <si>
    <t xml:space="preserve">Светильник настенный Ардатов 1138816001</t>
  </si>
  <si>
    <t xml:space="preserve">Счёт ЭНЕРГОПРОМ (ЭОМ), 11.06</t>
  </si>
  <si>
    <t xml:space="preserve">ЭТМ «со скидкой» (ЭОМ), 08.06</t>
  </si>
  <si>
    <t xml:space="preserve">⚠ Один артикул, два канала: ЭТМ дешевле на 714 ₽/шт (−11%). Маркетплейс со скидкой бьёт прямой счёт поставщика</t>
  </si>
  <si>
    <t xml:space="preserve">Светильник ДПО52-40-802 Ардатов 1166440802</t>
  </si>
  <si>
    <t xml:space="preserve">Финал ЭО «посл», 23.06</t>
  </si>
  <si>
    <t xml:space="preserve">⚠ Цена упала на 1432 ₽/шт (−24%) от объёма/переторговки за 12 дней. Урок: фиксировать цену поздней выборкой, не первым счётом</t>
  </si>
  <si>
    <t xml:space="preserve">Светильник ДПО52-40-842 EM3 Ардатов</t>
  </si>
  <si>
    <t xml:space="preserve">⚠ −2282 ₽/шт (−19%) между каналом и финальной выборкой</t>
  </si>
  <si>
    <t xml:space="preserve">Пруток стальной оцинк. d8 (молниезащ.)</t>
  </si>
  <si>
    <t xml:space="preserve">Счёт ЭНЕРГОПРОМ (ЭГ), 11.06</t>
  </si>
  <si>
    <t xml:space="preserve">ЭТМ «со скидкой» (ЭГ), 08.06</t>
  </si>
  <si>
    <t xml:space="preserve">✅ Каналы сошлись до копеек (Δ 0,03 ₽/м). Позиция «якорная» — цену d8 DKC можно принимать твёрдо</t>
  </si>
  <si>
    <t xml:space="preserve">Пакет ЭМ (силовое), закупка целиком</t>
  </si>
  <si>
    <t xml:space="preserve">ЭТМ «Минималка», 11.06</t>
  </si>
  <si>
    <t xml:space="preserve">ЭТМ «посл» (финал), 23.06</t>
  </si>
  <si>
    <t xml:space="preserve">⚠ +4,65 млн (+63%) — это НЕ подорожание, а добор номенклатуры (кабель тяж. сечений, колонны, муфты). «Минималка» ≠ комплектная поставка. Считать по «посл»</t>
  </si>
  <si>
    <t xml:space="preserve">Электролаборатория ПСИ (услуга)</t>
  </si>
  <si>
    <t xml:space="preserve">КП Пространство света (б/НДС)</t>
  </si>
  <si>
    <t xml:space="preserve">КП АВЭЛ (б/НДС)</t>
  </si>
  <si>
    <t xml:space="preserve">⚠ Спред 3,1× на одну услугу (52к…160к). ДГУ-Сервис 57 280 при НДС 5% (спецрежим). Брать АВЭЛ/ДГУ; 160к — вне рынка. Влияет на статью «Лаборатория» себестоимости</t>
  </si>
  <si>
    <t xml:space="preserve">Изоляция минплита (база, Астон) vs Новотэкс</t>
  </si>
  <si>
    <t xml:space="preserve">800–1000 ₽/м²</t>
  </si>
  <si>
    <t xml:space="preserve">База v1 ⚠ ОЦЕНКА (Астон, ОВ)</t>
  </si>
  <si>
    <t xml:space="preserve">нет</t>
  </si>
  <si>
    <t xml:space="preserve">Новотэкс: ОВ/ВК в этой партии НЕТ</t>
  </si>
  <si>
    <t xml:space="preserve">❕ Пересечения НЕТ: Новотэкс — ЭС+ПС, минплиты/воздуховодов/K-flex в счетах нет. Синтетика базы по ОВ/ВК остаётся ⚠ до профильного объекта. Керамфетр Новотэкс — иной продукт/ед.</t>
  </si>
  <si>
    <t xml:space="preserve">ИНСАЙТ: одна позиция гуляет 11–34% между каналами и до 6× между спецификациями. Твёрдую цену даёт ПОЗДНЯЯ выборка + живое КП; замену модели/спецификации — только через ГИП+ПТР (ст.710 ГК устно = риск).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</si>
</sst>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#,##0.00;[RED]\-#,##0.00"/>
    <numFmt numFmtId="168" formatCode="0%;[RED]\-0%"/>
    <numFmt numFmtId="169" formatCode="#,##0;[RED]\-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5F"/>
        <bgColor rgb="FF2E6E8E"/>
      </patternFill>
    </fill>
    <fill>
      <patternFill patternType="solid">
        <fgColor rgb="FFDCE6EC"/>
        <bgColor rgb="FFDDEBF0"/>
      </patternFill>
    </fill>
    <fill>
      <patternFill patternType="solid">
        <fgColor rgb="FF2E6E8E"/>
        <bgColor rgb="FF008080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DDEB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0B4"/>
        <bgColor rgb="FFDCE6EC"/>
      </patternFill>
    </fill>
    <fill>
      <patternFill patternType="solid">
        <fgColor rgb="FFDDEBF0"/>
        <bgColor rgb="FFDCE6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BFBFBF"/>
      <rgbColor rgb="FF808080"/>
      <rgbColor rgb="FF9999FF"/>
      <rgbColor rgb="FF993366"/>
      <rgbColor rgb="FFFFF2CC"/>
      <rgbColor rgb="FFDDEBF0"/>
      <rgbColor rgb="FF660066"/>
      <rgbColor rgb="FFFF8080"/>
      <rgbColor rgb="FF0066CC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E2EFDA"/>
      <rgbColor rgb="FFFCE4D6"/>
      <rgbColor rgb="FFC6E0B4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27.75" hidden="false" customHeight="true" outlineLevel="0" collapsed="false">
      <c r="A1" s="2" t="s">
        <v>0</v>
      </c>
      <c r="B1" s="2"/>
    </row>
    <row r="2" customFormat="false" ht="25.5" hidden="false" customHeight="true" outlineLevel="0" collapsed="false">
      <c r="A2" s="3" t="s">
        <v>1</v>
      </c>
      <c r="B2" s="3"/>
    </row>
    <row r="4" customFormat="false" ht="42" hidden="false" customHeight="true" outlineLevel="0" collapsed="false">
      <c r="A4" s="4" t="s">
        <v>2</v>
      </c>
      <c r="B4" s="5" t="s">
        <v>3</v>
      </c>
    </row>
    <row r="5" customFormat="false" ht="42" hidden="false" customHeight="true" outlineLevel="0" collapsed="false">
      <c r="A5" s="4" t="s">
        <v>4</v>
      </c>
      <c r="B5" s="5" t="s">
        <v>5</v>
      </c>
    </row>
    <row r="6" customFormat="false" ht="42" hidden="false" customHeight="true" outlineLevel="0" collapsed="false">
      <c r="A6" s="4" t="s">
        <v>6</v>
      </c>
      <c r="B6" s="5" t="s">
        <v>7</v>
      </c>
    </row>
    <row r="7" customFormat="false" ht="42" hidden="false" customHeight="true" outlineLevel="0" collapsed="false">
      <c r="A7" s="4" t="s">
        <v>8</v>
      </c>
      <c r="B7" s="5" t="s">
        <v>9</v>
      </c>
    </row>
    <row r="8" customFormat="false" ht="42" hidden="false" customHeight="true" outlineLevel="0" collapsed="false">
      <c r="A8" s="4" t="s">
        <v>10</v>
      </c>
      <c r="B8" s="5" t="s">
        <v>11</v>
      </c>
    </row>
    <row r="9" customFormat="false" ht="42" hidden="false" customHeight="true" outlineLevel="0" collapsed="false">
      <c r="A9" s="4" t="s">
        <v>12</v>
      </c>
      <c r="B9" s="5" t="s">
        <v>13</v>
      </c>
    </row>
    <row r="10" customFormat="false" ht="42" hidden="false" customHeight="true" outlineLevel="0" collapsed="false">
      <c r="A10" s="4" t="s">
        <v>14</v>
      </c>
      <c r="B10" s="5" t="s">
        <v>15</v>
      </c>
    </row>
    <row r="11" customFormat="false" ht="42" hidden="false" customHeight="true" outlineLevel="0" collapsed="false">
      <c r="A11" s="4" t="s">
        <v>16</v>
      </c>
      <c r="B11" s="5" t="s">
        <v>17</v>
      </c>
    </row>
    <row r="12" customFormat="false" ht="42" hidden="false" customHeight="true" outlineLevel="0" collapsed="false">
      <c r="A12" s="4" t="s">
        <v>18</v>
      </c>
      <c r="B12" s="5" t="s">
        <v>19</v>
      </c>
    </row>
    <row r="13" customFormat="false" ht="35.05" hidden="false" customHeight="false" outlineLevel="0" collapsed="false">
      <c r="A13" s="6" t="s">
        <v>20</v>
      </c>
      <c r="B13" s="7" t="s">
        <v>21</v>
      </c>
    </row>
    <row r="14" customFormat="false" ht="23.85" hidden="false" customHeight="false" outlineLevel="0" collapsed="false">
      <c r="A14" s="6" t="s">
        <v>22</v>
      </c>
      <c r="B14" s="7" t="s">
        <v>23</v>
      </c>
    </row>
    <row r="15" customFormat="false" ht="46.25" hidden="false" customHeight="false" outlineLevel="0" collapsed="false">
      <c r="A15" s="8" t="s">
        <v>24</v>
      </c>
      <c r="B15" s="7" t="s">
        <v>25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6"/>
    <col collapsed="false" customWidth="true" hidden="false" outlineLevel="0" max="5" min="4" style="1" width="13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8"/>
    <col collapsed="false" customWidth="true" hidden="false" outlineLevel="0" max="9" min="9" style="1" width="30"/>
  </cols>
  <sheetData>
    <row r="1" customFormat="false" ht="27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27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</row>
    <row r="5" customFormat="false" ht="34.5" hidden="false" customHeight="true" outlineLevel="0" collapsed="false">
      <c r="A5" s="5" t="s">
        <v>37</v>
      </c>
      <c r="B5" s="5" t="s">
        <v>38</v>
      </c>
      <c r="C5" s="5" t="s">
        <v>39</v>
      </c>
      <c r="D5" s="10"/>
      <c r="E5" s="10"/>
      <c r="F5" s="5" t="s">
        <v>40</v>
      </c>
      <c r="G5" s="5" t="s">
        <v>41</v>
      </c>
      <c r="H5" s="11" t="s">
        <v>42</v>
      </c>
      <c r="I5" s="5" t="s">
        <v>43</v>
      </c>
    </row>
    <row r="6" customFormat="false" ht="23.25" hidden="false" customHeight="true" outlineLevel="0" collapsed="false">
      <c r="A6" s="5" t="s">
        <v>37</v>
      </c>
      <c r="B6" s="5" t="s">
        <v>44</v>
      </c>
      <c r="C6" s="5" t="s">
        <v>39</v>
      </c>
      <c r="D6" s="10" t="n">
        <v>124.77</v>
      </c>
      <c r="E6" s="10" t="n">
        <v>324.49</v>
      </c>
      <c r="F6" s="12" t="s">
        <v>45</v>
      </c>
      <c r="G6" s="12" t="s">
        <v>46</v>
      </c>
      <c r="H6" s="13" t="s">
        <v>47</v>
      </c>
      <c r="I6" s="12" t="s">
        <v>48</v>
      </c>
    </row>
    <row r="7" customFormat="false" ht="23.25" hidden="false" customHeight="true" outlineLevel="0" collapsed="false">
      <c r="A7" s="5" t="s">
        <v>49</v>
      </c>
      <c r="B7" s="5" t="s">
        <v>50</v>
      </c>
      <c r="C7" s="5" t="s">
        <v>39</v>
      </c>
      <c r="D7" s="10"/>
      <c r="E7" s="10"/>
      <c r="F7" s="5" t="s">
        <v>51</v>
      </c>
      <c r="G7" s="5" t="s">
        <v>41</v>
      </c>
      <c r="H7" s="11" t="s">
        <v>42</v>
      </c>
      <c r="I7" s="5" t="s">
        <v>52</v>
      </c>
    </row>
    <row r="8" customFormat="false" ht="23.25" hidden="false" customHeight="true" outlineLevel="0" collapsed="false">
      <c r="A8" s="5" t="s">
        <v>53</v>
      </c>
      <c r="B8" s="5" t="s">
        <v>54</v>
      </c>
      <c r="C8" s="5" t="s">
        <v>55</v>
      </c>
      <c r="D8" s="10"/>
      <c r="E8" s="10"/>
      <c r="F8" s="5" t="s">
        <v>56</v>
      </c>
      <c r="G8" s="5" t="s">
        <v>41</v>
      </c>
      <c r="H8" s="11" t="s">
        <v>42</v>
      </c>
      <c r="I8" s="5" t="s">
        <v>57</v>
      </c>
    </row>
    <row r="9" customFormat="false" ht="23.25" hidden="false" customHeight="true" outlineLevel="0" collapsed="false">
      <c r="A9" s="5" t="s">
        <v>53</v>
      </c>
      <c r="B9" s="5" t="s">
        <v>58</v>
      </c>
      <c r="C9" s="5" t="s">
        <v>55</v>
      </c>
      <c r="D9" s="10"/>
      <c r="E9" s="10"/>
      <c r="F9" s="5" t="s">
        <v>59</v>
      </c>
      <c r="G9" s="5" t="s">
        <v>41</v>
      </c>
      <c r="H9" s="11" t="s">
        <v>42</v>
      </c>
      <c r="I9" s="5" t="s">
        <v>60</v>
      </c>
    </row>
    <row r="10" customFormat="false" ht="23.25" hidden="false" customHeight="true" outlineLevel="0" collapsed="false">
      <c r="A10" s="5" t="s">
        <v>53</v>
      </c>
      <c r="B10" s="5" t="s">
        <v>61</v>
      </c>
      <c r="C10" s="5" t="s">
        <v>55</v>
      </c>
      <c r="D10" s="10"/>
      <c r="E10" s="10"/>
      <c r="F10" s="5" t="s">
        <v>62</v>
      </c>
      <c r="G10" s="5" t="s">
        <v>41</v>
      </c>
      <c r="H10" s="14" t="s">
        <v>63</v>
      </c>
      <c r="I10" s="5" t="s">
        <v>64</v>
      </c>
    </row>
    <row r="11" customFormat="false" ht="15" hidden="false" customHeight="true" outlineLevel="0" collapsed="false">
      <c r="A11" s="5" t="s">
        <v>65</v>
      </c>
      <c r="B11" s="5" t="s">
        <v>66</v>
      </c>
      <c r="C11" s="5" t="s">
        <v>55</v>
      </c>
      <c r="D11" s="10"/>
      <c r="E11" s="10"/>
      <c r="F11" s="5" t="s">
        <v>67</v>
      </c>
      <c r="G11" s="5" t="s">
        <v>41</v>
      </c>
      <c r="H11" s="11" t="s">
        <v>42</v>
      </c>
      <c r="I11" s="5" t="s">
        <v>68</v>
      </c>
    </row>
    <row r="12" customFormat="false" ht="23.25" hidden="false" customHeight="true" outlineLevel="0" collapsed="false">
      <c r="A12" s="5" t="s">
        <v>65</v>
      </c>
      <c r="B12" s="5" t="s">
        <v>69</v>
      </c>
      <c r="C12" s="5" t="s">
        <v>55</v>
      </c>
      <c r="D12" s="10"/>
      <c r="E12" s="10"/>
      <c r="F12" s="5" t="s">
        <v>70</v>
      </c>
      <c r="G12" s="5" t="s">
        <v>41</v>
      </c>
      <c r="H12" s="11" t="s">
        <v>42</v>
      </c>
      <c r="I12" s="5" t="s">
        <v>71</v>
      </c>
    </row>
    <row r="13" customFormat="false" ht="23.25" hidden="false" customHeight="true" outlineLevel="0" collapsed="false">
      <c r="A13" s="5" t="s">
        <v>72</v>
      </c>
      <c r="B13" s="5" t="s">
        <v>73</v>
      </c>
      <c r="C13" s="5" t="s">
        <v>74</v>
      </c>
      <c r="D13" s="10" t="n">
        <v>800</v>
      </c>
      <c r="E13" s="10" t="n">
        <v>1000</v>
      </c>
      <c r="F13" s="5" t="s">
        <v>75</v>
      </c>
      <c r="G13" s="5" t="s">
        <v>76</v>
      </c>
      <c r="H13" s="14" t="s">
        <v>63</v>
      </c>
      <c r="I13" s="5" t="s">
        <v>77</v>
      </c>
    </row>
    <row r="14" customFormat="false" ht="23.25" hidden="false" customHeight="true" outlineLevel="0" collapsed="false">
      <c r="A14" s="5" t="s">
        <v>72</v>
      </c>
      <c r="B14" s="5" t="s">
        <v>78</v>
      </c>
      <c r="C14" s="5" t="s">
        <v>39</v>
      </c>
      <c r="D14" s="10"/>
      <c r="E14" s="10"/>
      <c r="F14" s="5" t="s">
        <v>79</v>
      </c>
      <c r="G14" s="5" t="s">
        <v>41</v>
      </c>
      <c r="H14" s="11" t="s">
        <v>42</v>
      </c>
      <c r="I14" s="5" t="s">
        <v>80</v>
      </c>
    </row>
    <row r="15" customFormat="false" ht="23.25" hidden="false" customHeight="true" outlineLevel="0" collapsed="false">
      <c r="A15" s="5" t="s">
        <v>72</v>
      </c>
      <c r="B15" s="5" t="s">
        <v>81</v>
      </c>
      <c r="C15" s="5" t="s">
        <v>82</v>
      </c>
      <c r="D15" s="10"/>
      <c r="E15" s="10"/>
      <c r="F15" s="5" t="s">
        <v>83</v>
      </c>
      <c r="G15" s="5" t="s">
        <v>76</v>
      </c>
      <c r="H15" s="14" t="s">
        <v>63</v>
      </c>
      <c r="I15" s="5" t="s">
        <v>84</v>
      </c>
    </row>
    <row r="16" customFormat="false" ht="23.25" hidden="false" customHeight="true" outlineLevel="0" collapsed="false">
      <c r="A16" s="5" t="s">
        <v>85</v>
      </c>
      <c r="B16" s="5" t="s">
        <v>86</v>
      </c>
      <c r="C16" s="5" t="s">
        <v>74</v>
      </c>
      <c r="D16" s="10"/>
      <c r="E16" s="10"/>
      <c r="F16" s="5" t="s">
        <v>87</v>
      </c>
      <c r="G16" s="5" t="s">
        <v>76</v>
      </c>
      <c r="H16" s="14" t="s">
        <v>63</v>
      </c>
      <c r="I16" s="5" t="s">
        <v>88</v>
      </c>
    </row>
    <row r="17" customFormat="false" ht="23.25" hidden="false" customHeight="true" outlineLevel="0" collapsed="false">
      <c r="A17" s="5" t="s">
        <v>85</v>
      </c>
      <c r="B17" s="5" t="s">
        <v>89</v>
      </c>
      <c r="C17" s="5" t="s">
        <v>74</v>
      </c>
      <c r="D17" s="10"/>
      <c r="E17" s="10"/>
      <c r="F17" s="5" t="s">
        <v>90</v>
      </c>
      <c r="G17" s="5" t="s">
        <v>41</v>
      </c>
      <c r="H17" s="11" t="s">
        <v>42</v>
      </c>
      <c r="I17" s="5" t="s">
        <v>91</v>
      </c>
    </row>
    <row r="18" customFormat="false" ht="15" hidden="false" customHeight="true" outlineLevel="0" collapsed="false">
      <c r="A18" s="5" t="s">
        <v>85</v>
      </c>
      <c r="B18" s="5" t="s">
        <v>92</v>
      </c>
      <c r="C18" s="5" t="s">
        <v>55</v>
      </c>
      <c r="D18" s="10"/>
      <c r="E18" s="10"/>
      <c r="F18" s="5" t="s">
        <v>79</v>
      </c>
      <c r="G18" s="5" t="s">
        <v>41</v>
      </c>
      <c r="H18" s="11" t="s">
        <v>42</v>
      </c>
      <c r="I18" s="5" t="s">
        <v>93</v>
      </c>
    </row>
    <row r="19" customFormat="false" ht="23.25" hidden="false" customHeight="true" outlineLevel="0" collapsed="false">
      <c r="A19" s="5" t="s">
        <v>94</v>
      </c>
      <c r="B19" s="5" t="s">
        <v>95</v>
      </c>
      <c r="C19" s="5" t="s">
        <v>39</v>
      </c>
      <c r="D19" s="10" t="n">
        <v>41.77</v>
      </c>
      <c r="E19" s="10" t="n">
        <v>7854.9</v>
      </c>
      <c r="F19" s="12" t="s">
        <v>96</v>
      </c>
      <c r="G19" s="12" t="s">
        <v>97</v>
      </c>
      <c r="H19" s="13" t="s">
        <v>47</v>
      </c>
      <c r="I19" s="12" t="s">
        <v>98</v>
      </c>
    </row>
    <row r="20" customFormat="false" ht="23.25" hidden="false" customHeight="true" outlineLevel="0" collapsed="false">
      <c r="A20" s="5" t="s">
        <v>94</v>
      </c>
      <c r="B20" s="5" t="s">
        <v>99</v>
      </c>
      <c r="C20" s="5" t="s">
        <v>39</v>
      </c>
      <c r="D20" s="10" t="n">
        <v>34.06</v>
      </c>
      <c r="E20" s="10" t="n">
        <v>6171.41</v>
      </c>
      <c r="F20" s="12" t="s">
        <v>100</v>
      </c>
      <c r="G20" s="12" t="s">
        <v>97</v>
      </c>
      <c r="H20" s="13" t="s">
        <v>47</v>
      </c>
      <c r="I20" s="12" t="s">
        <v>101</v>
      </c>
    </row>
    <row r="21" customFormat="false" ht="15" hidden="false" customHeight="true" outlineLevel="0" collapsed="false">
      <c r="A21" s="5" t="s">
        <v>94</v>
      </c>
      <c r="B21" s="5" t="s">
        <v>102</v>
      </c>
      <c r="C21" s="5" t="s">
        <v>39</v>
      </c>
      <c r="D21" s="10" t="n">
        <v>911.51</v>
      </c>
      <c r="E21" s="10" t="n">
        <v>7737.72</v>
      </c>
      <c r="F21" s="12" t="s">
        <v>103</v>
      </c>
      <c r="G21" s="12" t="s">
        <v>97</v>
      </c>
      <c r="H21" s="13" t="s">
        <v>47</v>
      </c>
      <c r="I21" s="12" t="s">
        <v>104</v>
      </c>
    </row>
    <row r="22" customFormat="false" ht="23.25" hidden="false" customHeight="true" outlineLevel="0" collapsed="false">
      <c r="A22" s="5" t="s">
        <v>105</v>
      </c>
      <c r="B22" s="5" t="s">
        <v>106</v>
      </c>
      <c r="C22" s="5" t="s">
        <v>39</v>
      </c>
      <c r="D22" s="10" t="n">
        <v>285.92</v>
      </c>
      <c r="E22" s="10" t="n">
        <v>2504.92</v>
      </c>
      <c r="F22" s="12" t="s">
        <v>107</v>
      </c>
      <c r="G22" s="12" t="s">
        <v>97</v>
      </c>
      <c r="H22" s="13" t="s">
        <v>47</v>
      </c>
      <c r="I22" s="12" t="s">
        <v>108</v>
      </c>
    </row>
    <row r="23" customFormat="false" ht="15" hidden="false" customHeight="true" outlineLevel="0" collapsed="false">
      <c r="A23" s="5" t="s">
        <v>105</v>
      </c>
      <c r="B23" s="5" t="s">
        <v>109</v>
      </c>
      <c r="C23" s="5" t="s">
        <v>39</v>
      </c>
      <c r="D23" s="10" t="n">
        <v>14.22</v>
      </c>
      <c r="E23" s="10" t="n">
        <v>593.01</v>
      </c>
      <c r="F23" s="12" t="s">
        <v>110</v>
      </c>
      <c r="G23" s="12" t="s">
        <v>97</v>
      </c>
      <c r="H23" s="13" t="s">
        <v>47</v>
      </c>
      <c r="I23" s="12" t="s">
        <v>111</v>
      </c>
    </row>
    <row r="24" customFormat="false" ht="23.25" hidden="false" customHeight="true" outlineLevel="0" collapsed="false">
      <c r="A24" s="5" t="s">
        <v>112</v>
      </c>
      <c r="B24" s="5" t="s">
        <v>113</v>
      </c>
      <c r="C24" s="5" t="s">
        <v>55</v>
      </c>
      <c r="D24" s="10"/>
      <c r="E24" s="10"/>
      <c r="F24" s="12" t="s">
        <v>114</v>
      </c>
      <c r="G24" s="12" t="s">
        <v>97</v>
      </c>
      <c r="H24" s="14" t="s">
        <v>63</v>
      </c>
      <c r="I24" s="12" t="s">
        <v>115</v>
      </c>
    </row>
    <row r="25" customFormat="false" ht="15" hidden="false" customHeight="true" outlineLevel="0" collapsed="false">
      <c r="A25" s="5" t="s">
        <v>116</v>
      </c>
      <c r="B25" s="5" t="s">
        <v>117</v>
      </c>
      <c r="C25" s="5" t="s">
        <v>55</v>
      </c>
      <c r="D25" s="10" t="n">
        <v>16608.38</v>
      </c>
      <c r="E25" s="10" t="n">
        <v>24773.32</v>
      </c>
      <c r="F25" s="12" t="s">
        <v>118</v>
      </c>
      <c r="G25" s="12" t="s">
        <v>97</v>
      </c>
      <c r="H25" s="13" t="s">
        <v>47</v>
      </c>
      <c r="I25" s="12" t="s">
        <v>119</v>
      </c>
    </row>
    <row r="26" customFormat="false" ht="34.5" hidden="false" customHeight="true" outlineLevel="0" collapsed="false">
      <c r="A26" s="5" t="s">
        <v>120</v>
      </c>
      <c r="B26" s="5" t="s">
        <v>121</v>
      </c>
      <c r="C26" s="5" t="s">
        <v>55</v>
      </c>
      <c r="D26" s="10" t="n">
        <v>1404.39</v>
      </c>
      <c r="E26" s="10" t="n">
        <v>18285.38</v>
      </c>
      <c r="F26" s="12" t="s">
        <v>122</v>
      </c>
      <c r="G26" s="12" t="s">
        <v>97</v>
      </c>
      <c r="H26" s="13" t="s">
        <v>47</v>
      </c>
      <c r="I26" s="12" t="s">
        <v>123</v>
      </c>
    </row>
    <row r="27" customFormat="false" ht="15" hidden="false" customHeight="true" outlineLevel="0" collapsed="false">
      <c r="A27" s="5" t="s">
        <v>124</v>
      </c>
      <c r="B27" s="5" t="s">
        <v>125</v>
      </c>
      <c r="C27" s="5" t="s">
        <v>55</v>
      </c>
      <c r="D27" s="10"/>
      <c r="E27" s="10"/>
      <c r="F27" s="5" t="s">
        <v>79</v>
      </c>
      <c r="G27" s="5" t="s">
        <v>41</v>
      </c>
      <c r="H27" s="11" t="s">
        <v>42</v>
      </c>
      <c r="I27" s="5" t="s">
        <v>126</v>
      </c>
    </row>
    <row r="28" customFormat="false" ht="23.25" hidden="false" customHeight="true" outlineLevel="0" collapsed="false">
      <c r="A28" s="5" t="s">
        <v>124</v>
      </c>
      <c r="B28" s="5" t="s">
        <v>127</v>
      </c>
      <c r="C28" s="5" t="s">
        <v>55</v>
      </c>
      <c r="D28" s="10"/>
      <c r="E28" s="10"/>
      <c r="F28" s="5" t="s">
        <v>79</v>
      </c>
      <c r="G28" s="5" t="s">
        <v>41</v>
      </c>
      <c r="H28" s="11" t="s">
        <v>42</v>
      </c>
      <c r="I28" s="5" t="s">
        <v>128</v>
      </c>
    </row>
    <row r="29" customFormat="false" ht="23.25" hidden="false" customHeight="true" outlineLevel="0" collapsed="false">
      <c r="A29" s="5" t="s">
        <v>129</v>
      </c>
      <c r="B29" s="5" t="s">
        <v>130</v>
      </c>
      <c r="C29" s="5" t="s">
        <v>55</v>
      </c>
      <c r="D29" s="10"/>
      <c r="E29" s="10"/>
      <c r="F29" s="5" t="s">
        <v>131</v>
      </c>
      <c r="G29" s="5" t="s">
        <v>41</v>
      </c>
      <c r="H29" s="11" t="s">
        <v>42</v>
      </c>
      <c r="I29" s="5" t="s">
        <v>132</v>
      </c>
    </row>
    <row r="30" customFormat="false" ht="23.25" hidden="false" customHeight="true" outlineLevel="0" collapsed="false">
      <c r="A30" s="5" t="s">
        <v>133</v>
      </c>
      <c r="B30" s="5" t="s">
        <v>134</v>
      </c>
      <c r="C30" s="5" t="s">
        <v>82</v>
      </c>
      <c r="D30" s="10"/>
      <c r="E30" s="10"/>
      <c r="F30" s="5" t="s">
        <v>135</v>
      </c>
      <c r="G30" s="5" t="s">
        <v>41</v>
      </c>
      <c r="H30" s="11" t="s">
        <v>42</v>
      </c>
      <c r="I30" s="5" t="s">
        <v>136</v>
      </c>
    </row>
    <row r="31" customFormat="false" ht="35.05" hidden="false" customHeight="false" outlineLevel="0" collapsed="false">
      <c r="A31" s="15" t="s">
        <v>137</v>
      </c>
      <c r="B31" s="15" t="s">
        <v>138</v>
      </c>
      <c r="C31" s="16" t="s">
        <v>39</v>
      </c>
      <c r="D31" s="17" t="n">
        <v>71.21</v>
      </c>
      <c r="E31" s="17" t="n">
        <v>71.24</v>
      </c>
      <c r="F31" s="15" t="s">
        <v>139</v>
      </c>
      <c r="G31" s="16" t="s">
        <v>97</v>
      </c>
      <c r="H31" s="18" t="s">
        <v>47</v>
      </c>
      <c r="I31" s="15" t="s">
        <v>140</v>
      </c>
    </row>
    <row r="32" customFormat="false" ht="23.85" hidden="false" customHeight="false" outlineLevel="0" collapsed="false">
      <c r="A32" s="15" t="s">
        <v>137</v>
      </c>
      <c r="B32" s="15" t="s">
        <v>141</v>
      </c>
      <c r="C32" s="16" t="s">
        <v>39</v>
      </c>
      <c r="D32" s="17" t="n">
        <v>153.88</v>
      </c>
      <c r="E32" s="17" t="n">
        <v>297.44</v>
      </c>
      <c r="F32" s="15" t="s">
        <v>142</v>
      </c>
      <c r="G32" s="16" t="s">
        <v>143</v>
      </c>
      <c r="H32" s="18" t="s">
        <v>47</v>
      </c>
      <c r="I32" s="15" t="s">
        <v>144</v>
      </c>
    </row>
    <row r="33" customFormat="false" ht="23.85" hidden="false" customHeight="false" outlineLevel="0" collapsed="false">
      <c r="A33" s="15" t="s">
        <v>137</v>
      </c>
      <c r="B33" s="15" t="s">
        <v>145</v>
      </c>
      <c r="C33" s="16" t="s">
        <v>39</v>
      </c>
      <c r="D33" s="17" t="n">
        <v>38.64</v>
      </c>
      <c r="E33" s="17" t="n">
        <v>242.8</v>
      </c>
      <c r="F33" s="15" t="s">
        <v>146</v>
      </c>
      <c r="G33" s="16" t="s">
        <v>143</v>
      </c>
      <c r="H33" s="18" t="s">
        <v>47</v>
      </c>
      <c r="I33" s="15" t="s">
        <v>147</v>
      </c>
    </row>
    <row r="34" customFormat="false" ht="35.05" hidden="false" customHeight="false" outlineLevel="0" collapsed="false">
      <c r="A34" s="15" t="s">
        <v>137</v>
      </c>
      <c r="B34" s="15" t="s">
        <v>148</v>
      </c>
      <c r="C34" s="16" t="s">
        <v>55</v>
      </c>
      <c r="D34" s="17" t="n">
        <v>31.5</v>
      </c>
      <c r="E34" s="17" t="n">
        <v>343.55</v>
      </c>
      <c r="F34" s="15" t="s">
        <v>107</v>
      </c>
      <c r="G34" s="16" t="s">
        <v>143</v>
      </c>
      <c r="H34" s="18" t="s">
        <v>47</v>
      </c>
      <c r="I34" s="15" t="s">
        <v>149</v>
      </c>
    </row>
    <row r="35" customFormat="false" ht="46.25" hidden="false" customHeight="false" outlineLevel="0" collapsed="false">
      <c r="A35" s="15" t="s">
        <v>72</v>
      </c>
      <c r="B35" s="15" t="s">
        <v>150</v>
      </c>
      <c r="C35" s="16" t="s">
        <v>151</v>
      </c>
      <c r="D35" s="17" t="n">
        <v>2970</v>
      </c>
      <c r="E35" s="17" t="n">
        <v>4070</v>
      </c>
      <c r="F35" s="15" t="s">
        <v>152</v>
      </c>
      <c r="G35" s="16" t="s">
        <v>153</v>
      </c>
      <c r="H35" s="18" t="s">
        <v>47</v>
      </c>
      <c r="I35" s="15" t="s">
        <v>154</v>
      </c>
    </row>
    <row r="36" customFormat="false" ht="35.05" hidden="false" customHeight="false" outlineLevel="0" collapsed="false">
      <c r="A36" s="15" t="s">
        <v>155</v>
      </c>
      <c r="B36" s="15" t="s">
        <v>156</v>
      </c>
      <c r="C36" s="16" t="s">
        <v>55</v>
      </c>
      <c r="D36" s="17" t="n">
        <v>341</v>
      </c>
      <c r="E36" s="17" t="n">
        <v>341</v>
      </c>
      <c r="F36" s="15" t="s">
        <v>157</v>
      </c>
      <c r="G36" s="16" t="s">
        <v>143</v>
      </c>
      <c r="H36" s="18" t="s">
        <v>47</v>
      </c>
      <c r="I36" s="15" t="s">
        <v>158</v>
      </c>
    </row>
    <row r="37" customFormat="false" ht="57.45" hidden="false" customHeight="false" outlineLevel="0" collapsed="false">
      <c r="A37" s="15" t="s">
        <v>159</v>
      </c>
      <c r="B37" s="15" t="s">
        <v>160</v>
      </c>
      <c r="C37" s="16" t="s">
        <v>82</v>
      </c>
      <c r="D37" s="17" t="n">
        <v>0.14</v>
      </c>
      <c r="E37" s="17" t="n">
        <v>589.04</v>
      </c>
      <c r="F37" s="15" t="s">
        <v>161</v>
      </c>
      <c r="G37" s="16" t="s">
        <v>97</v>
      </c>
      <c r="H37" s="18" t="s">
        <v>47</v>
      </c>
      <c r="I37" s="15" t="s">
        <v>162</v>
      </c>
    </row>
    <row r="38" customFormat="false" ht="46.25" hidden="false" customHeight="false" outlineLevel="0" collapsed="false">
      <c r="A38" s="15" t="s">
        <v>163</v>
      </c>
      <c r="B38" s="15" t="s">
        <v>164</v>
      </c>
      <c r="C38" s="16" t="s">
        <v>55</v>
      </c>
      <c r="D38" s="17" t="n">
        <v>3384.28</v>
      </c>
      <c r="E38" s="17" t="n">
        <v>402812.2</v>
      </c>
      <c r="F38" s="15" t="s">
        <v>165</v>
      </c>
      <c r="G38" s="16" t="s">
        <v>46</v>
      </c>
      <c r="H38" s="18" t="s">
        <v>47</v>
      </c>
      <c r="I38" s="15" t="s">
        <v>166</v>
      </c>
    </row>
    <row r="39" customFormat="false" ht="57.45" hidden="false" customHeight="false" outlineLevel="0" collapsed="false">
      <c r="A39" s="15" t="s">
        <v>167</v>
      </c>
      <c r="B39" s="15" t="s">
        <v>168</v>
      </c>
      <c r="C39" s="16" t="s">
        <v>55</v>
      </c>
      <c r="D39" s="17" t="n">
        <v>133691.93</v>
      </c>
      <c r="E39" s="17" t="n">
        <v>218500</v>
      </c>
      <c r="F39" s="15" t="s">
        <v>169</v>
      </c>
      <c r="G39" s="16" t="s">
        <v>97</v>
      </c>
      <c r="H39" s="19" t="s">
        <v>170</v>
      </c>
      <c r="I39" s="15" t="s">
        <v>171</v>
      </c>
    </row>
    <row r="40" customFormat="false" ht="46.25" hidden="false" customHeight="false" outlineLevel="0" collapsed="false">
      <c r="A40" s="15" t="s">
        <v>167</v>
      </c>
      <c r="B40" s="15" t="s">
        <v>172</v>
      </c>
      <c r="C40" s="16" t="s">
        <v>55</v>
      </c>
      <c r="D40" s="17" t="n">
        <v>240.12</v>
      </c>
      <c r="E40" s="17" t="n">
        <v>11014.2</v>
      </c>
      <c r="F40" s="15" t="s">
        <v>173</v>
      </c>
      <c r="G40" s="16" t="s">
        <v>97</v>
      </c>
      <c r="H40" s="18" t="s">
        <v>47</v>
      </c>
      <c r="I40" s="15" t="s">
        <v>174</v>
      </c>
    </row>
    <row r="41" customFormat="false" ht="15" hidden="false" customHeight="false" outlineLevel="0" collapsed="false">
      <c r="A41" s="15" t="s">
        <v>175</v>
      </c>
      <c r="B41" s="15" t="s">
        <v>176</v>
      </c>
      <c r="C41" s="16" t="s">
        <v>55</v>
      </c>
      <c r="D41" s="17" t="n">
        <v>9414.98</v>
      </c>
      <c r="E41" s="17" t="n">
        <v>9414.98</v>
      </c>
      <c r="F41" s="15" t="s">
        <v>177</v>
      </c>
      <c r="G41" s="16" t="s">
        <v>46</v>
      </c>
      <c r="H41" s="18" t="s">
        <v>47</v>
      </c>
      <c r="I41" s="15" t="s">
        <v>178</v>
      </c>
    </row>
    <row r="42" customFormat="false" ht="68.65" hidden="false" customHeight="false" outlineLevel="0" collapsed="false">
      <c r="A42" s="15" t="s">
        <v>179</v>
      </c>
      <c r="B42" s="15" t="s">
        <v>180</v>
      </c>
      <c r="C42" s="16" t="s">
        <v>39</v>
      </c>
      <c r="D42" s="17" t="n">
        <v>39.12</v>
      </c>
      <c r="E42" s="17" t="n">
        <v>251.11</v>
      </c>
      <c r="F42" s="15" t="s">
        <v>181</v>
      </c>
      <c r="G42" s="16" t="s">
        <v>97</v>
      </c>
      <c r="H42" s="19" t="s">
        <v>170</v>
      </c>
      <c r="I42" s="15" t="s">
        <v>182</v>
      </c>
    </row>
    <row r="43" customFormat="false" ht="23.85" hidden="false" customHeight="false" outlineLevel="0" collapsed="false">
      <c r="A43" s="15" t="s">
        <v>183</v>
      </c>
      <c r="B43" s="15" t="s">
        <v>184</v>
      </c>
      <c r="C43" s="16" t="s">
        <v>55</v>
      </c>
      <c r="D43" s="17" t="n">
        <v>282.99</v>
      </c>
      <c r="E43" s="17" t="n">
        <v>326.12</v>
      </c>
      <c r="F43" s="15" t="s">
        <v>185</v>
      </c>
      <c r="G43" s="16" t="s">
        <v>186</v>
      </c>
      <c r="H43" s="18" t="s">
        <v>47</v>
      </c>
      <c r="I43" s="15" t="s">
        <v>187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4"/>
    <col collapsed="false" customWidth="true" hidden="false" outlineLevel="0" max="3" min="3" style="1" width="6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2" t="s">
        <v>188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189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9" t="s">
        <v>190</v>
      </c>
      <c r="B4" s="9" t="s">
        <v>191</v>
      </c>
      <c r="C4" s="9" t="s">
        <v>30</v>
      </c>
      <c r="D4" s="9" t="s">
        <v>192</v>
      </c>
      <c r="E4" s="9" t="s">
        <v>193</v>
      </c>
      <c r="F4" s="9" t="s">
        <v>194</v>
      </c>
      <c r="G4" s="9" t="s">
        <v>195</v>
      </c>
      <c r="H4" s="9" t="s">
        <v>196</v>
      </c>
      <c r="I4" s="9" t="s">
        <v>36</v>
      </c>
    </row>
    <row r="5" customFormat="false" ht="23.25" hidden="false" customHeight="true" outlineLevel="0" collapsed="false">
      <c r="A5" s="5" t="s">
        <v>197</v>
      </c>
      <c r="B5" s="5" t="s">
        <v>198</v>
      </c>
      <c r="C5" s="5" t="s">
        <v>82</v>
      </c>
      <c r="D5" s="5" t="n">
        <v>1</v>
      </c>
      <c r="E5" s="10" t="n">
        <v>2200000</v>
      </c>
      <c r="F5" s="5" t="s">
        <v>199</v>
      </c>
      <c r="G5" s="20" t="s">
        <v>200</v>
      </c>
      <c r="H5" s="5" t="n">
        <v>10</v>
      </c>
      <c r="I5" s="5" t="s">
        <v>201</v>
      </c>
    </row>
    <row r="6" customFormat="false" ht="23.25" hidden="false" customHeight="true" outlineLevel="0" collapsed="false">
      <c r="A6" s="5" t="s">
        <v>202</v>
      </c>
      <c r="B6" s="5" t="s">
        <v>203</v>
      </c>
      <c r="C6" s="5" t="s">
        <v>55</v>
      </c>
      <c r="D6" s="5" t="n">
        <v>1</v>
      </c>
      <c r="E6" s="10" t="n">
        <v>550000</v>
      </c>
      <c r="F6" s="5" t="s">
        <v>199</v>
      </c>
      <c r="G6" s="11" t="s">
        <v>170</v>
      </c>
      <c r="H6" s="5" t="n">
        <v>10</v>
      </c>
      <c r="I6" s="5" t="s">
        <v>204</v>
      </c>
    </row>
    <row r="7" customFormat="false" ht="15" hidden="false" customHeight="true" outlineLevel="0" collapsed="false">
      <c r="A7" s="5" t="s">
        <v>205</v>
      </c>
      <c r="B7" s="5" t="s">
        <v>206</v>
      </c>
      <c r="C7" s="5" t="s">
        <v>82</v>
      </c>
      <c r="D7" s="5" t="n">
        <v>1</v>
      </c>
      <c r="E7" s="10" t="n">
        <v>450000</v>
      </c>
      <c r="F7" s="5" t="s">
        <v>199</v>
      </c>
      <c r="G7" s="14" t="s">
        <v>207</v>
      </c>
      <c r="H7" s="5" t="n">
        <v>8</v>
      </c>
      <c r="I7" s="5" t="s">
        <v>201</v>
      </c>
    </row>
    <row r="8" customFormat="false" ht="15" hidden="false" customHeight="true" outlineLevel="0" collapsed="false">
      <c r="A8" s="5" t="s">
        <v>208</v>
      </c>
      <c r="B8" s="5" t="s">
        <v>209</v>
      </c>
      <c r="C8" s="5" t="s">
        <v>82</v>
      </c>
      <c r="D8" s="5" t="n">
        <v>1</v>
      </c>
      <c r="E8" s="10" t="n">
        <v>320000</v>
      </c>
      <c r="F8" s="5" t="s">
        <v>210</v>
      </c>
      <c r="G8" s="20" t="s">
        <v>200</v>
      </c>
      <c r="H8" s="5" t="n">
        <v>6</v>
      </c>
      <c r="I8" s="5" t="s">
        <v>211</v>
      </c>
    </row>
    <row r="9" customFormat="false" ht="23.25" hidden="false" customHeight="true" outlineLevel="0" collapsed="false">
      <c r="A9" s="5" t="s">
        <v>212</v>
      </c>
      <c r="B9" s="5" t="s">
        <v>213</v>
      </c>
      <c r="C9" s="5" t="s">
        <v>82</v>
      </c>
      <c r="D9" s="5" t="n">
        <v>1</v>
      </c>
      <c r="E9" s="10" t="n">
        <v>140000</v>
      </c>
      <c r="F9" s="5" t="s">
        <v>214</v>
      </c>
      <c r="G9" s="14" t="s">
        <v>207</v>
      </c>
      <c r="H9" s="5" t="n">
        <v>8</v>
      </c>
      <c r="I9" s="5" t="s">
        <v>215</v>
      </c>
    </row>
    <row r="10" customFormat="false" ht="15" hidden="false" customHeight="true" outlineLevel="0" collapsed="false">
      <c r="A10" s="5" t="s">
        <v>216</v>
      </c>
      <c r="B10" s="5" t="s">
        <v>217</v>
      </c>
      <c r="C10" s="5" t="s">
        <v>55</v>
      </c>
      <c r="D10" s="5" t="n">
        <v>13</v>
      </c>
      <c r="E10" s="10" t="n">
        <v>130000</v>
      </c>
      <c r="F10" s="5" t="s">
        <v>199</v>
      </c>
      <c r="G10" s="20" t="s">
        <v>200</v>
      </c>
      <c r="H10" s="5" t="n">
        <v>3</v>
      </c>
      <c r="I10" s="5" t="s">
        <v>218</v>
      </c>
    </row>
    <row r="11" customFormat="false" ht="15" hidden="false" customHeight="true" outlineLevel="0" collapsed="false">
      <c r="A11" s="5" t="s">
        <v>219</v>
      </c>
      <c r="B11" s="5" t="s">
        <v>220</v>
      </c>
      <c r="C11" s="5" t="s">
        <v>82</v>
      </c>
      <c r="D11" s="5" t="n">
        <v>14</v>
      </c>
      <c r="E11" s="10" t="n">
        <v>90000</v>
      </c>
      <c r="F11" s="5" t="s">
        <v>221</v>
      </c>
      <c r="G11" s="14" t="s">
        <v>207</v>
      </c>
      <c r="H11" s="5" t="n">
        <v>6</v>
      </c>
      <c r="I11" s="5" t="s">
        <v>201</v>
      </c>
    </row>
    <row r="12" customFormat="false" ht="23.25" hidden="false" customHeight="true" outlineLevel="0" collapsed="false">
      <c r="A12" s="5" t="s">
        <v>222</v>
      </c>
      <c r="B12" s="5" t="s">
        <v>223</v>
      </c>
      <c r="C12" s="5" t="s">
        <v>55</v>
      </c>
      <c r="D12" s="5" t="n">
        <v>38</v>
      </c>
      <c r="E12" s="10" t="n">
        <v>45000</v>
      </c>
      <c r="F12" s="5" t="s">
        <v>224</v>
      </c>
      <c r="G12" s="14" t="s">
        <v>207</v>
      </c>
      <c r="H12" s="5" t="n">
        <v>4</v>
      </c>
      <c r="I12" s="5" t="s">
        <v>201</v>
      </c>
    </row>
    <row r="13" customFormat="false" ht="15" hidden="false" customHeight="true" outlineLevel="0" collapsed="false">
      <c r="A13" s="5" t="s">
        <v>225</v>
      </c>
      <c r="B13" s="5" t="s">
        <v>226</v>
      </c>
      <c r="C13" s="5" t="s">
        <v>55</v>
      </c>
      <c r="D13" s="5" t="n">
        <v>30</v>
      </c>
      <c r="E13" s="10" t="n">
        <v>38000</v>
      </c>
      <c r="F13" s="5" t="s">
        <v>227</v>
      </c>
      <c r="G13" s="14" t="s">
        <v>207</v>
      </c>
      <c r="H13" s="5" t="n">
        <v>4</v>
      </c>
      <c r="I13" s="5" t="s">
        <v>201</v>
      </c>
    </row>
    <row r="14" customFormat="false" ht="15" hidden="false" customHeight="true" outlineLevel="0" collapsed="false">
      <c r="A14" s="5" t="s">
        <v>228</v>
      </c>
      <c r="B14" s="5" t="s">
        <v>229</v>
      </c>
      <c r="C14" s="5" t="s">
        <v>55</v>
      </c>
      <c r="D14" s="5" t="n">
        <v>17</v>
      </c>
      <c r="E14" s="10" t="n">
        <v>35000</v>
      </c>
      <c r="F14" s="5" t="s">
        <v>230</v>
      </c>
      <c r="G14" s="20" t="s">
        <v>200</v>
      </c>
      <c r="H14" s="5" t="n">
        <v>5</v>
      </c>
      <c r="I14" s="5" t="s">
        <v>218</v>
      </c>
    </row>
    <row r="15" customFormat="false" ht="15" hidden="false" customHeight="true" outlineLevel="0" collapsed="false">
      <c r="A15" s="5" t="s">
        <v>231</v>
      </c>
      <c r="B15" s="5" t="s">
        <v>232</v>
      </c>
      <c r="C15" s="5" t="s">
        <v>55</v>
      </c>
      <c r="D15" s="5" t="n">
        <v>6</v>
      </c>
      <c r="E15" s="10" t="n">
        <v>18000</v>
      </c>
      <c r="F15" s="5" t="s">
        <v>199</v>
      </c>
      <c r="G15" s="20" t="s">
        <v>200</v>
      </c>
      <c r="H15" s="5" t="n">
        <v>3</v>
      </c>
      <c r="I15" s="5" t="s">
        <v>201</v>
      </c>
    </row>
    <row r="16" customFormat="false" ht="15" hidden="false" customHeight="true" outlineLevel="0" collapsed="false">
      <c r="A16" s="5" t="s">
        <v>233</v>
      </c>
      <c r="B16" s="5" t="s">
        <v>234</v>
      </c>
      <c r="C16" s="5" t="s">
        <v>55</v>
      </c>
      <c r="D16" s="5" t="n">
        <v>10</v>
      </c>
      <c r="E16" s="10" t="n">
        <v>18000</v>
      </c>
      <c r="F16" s="5" t="s">
        <v>235</v>
      </c>
      <c r="G16" s="20" t="s">
        <v>200</v>
      </c>
      <c r="H16" s="5" t="n">
        <v>2</v>
      </c>
      <c r="I16" s="5" t="s">
        <v>236</v>
      </c>
    </row>
    <row r="17" customFormat="false" ht="23.25" hidden="false" customHeight="true" outlineLevel="0" collapsed="false">
      <c r="A17" s="5" t="s">
        <v>237</v>
      </c>
      <c r="B17" s="5" t="s">
        <v>238</v>
      </c>
      <c r="C17" s="5" t="s">
        <v>55</v>
      </c>
      <c r="D17" s="5" t="n">
        <v>63</v>
      </c>
      <c r="E17" s="10" t="n">
        <v>13000</v>
      </c>
      <c r="F17" s="5" t="s">
        <v>239</v>
      </c>
      <c r="G17" s="11" t="s">
        <v>170</v>
      </c>
      <c r="H17" s="5" t="n">
        <v>8</v>
      </c>
      <c r="I17" s="5" t="s">
        <v>240</v>
      </c>
    </row>
    <row r="18" customFormat="false" ht="15" hidden="false" customHeight="true" outlineLevel="0" collapsed="false">
      <c r="A18" s="5" t="s">
        <v>241</v>
      </c>
      <c r="B18" s="5" t="s">
        <v>242</v>
      </c>
      <c r="C18" s="5" t="s">
        <v>55</v>
      </c>
      <c r="D18" s="5" t="n">
        <v>2</v>
      </c>
      <c r="E18" s="10" t="n">
        <v>9000</v>
      </c>
      <c r="F18" s="5" t="s">
        <v>243</v>
      </c>
      <c r="G18" s="20" t="s">
        <v>200</v>
      </c>
      <c r="H18" s="5" t="n">
        <v>2</v>
      </c>
      <c r="I18" s="5" t="s">
        <v>201</v>
      </c>
    </row>
    <row r="19" customFormat="false" ht="23.25" hidden="false" customHeight="true" outlineLevel="0" collapsed="false">
      <c r="A19" s="5" t="s">
        <v>244</v>
      </c>
      <c r="B19" s="5" t="s">
        <v>245</v>
      </c>
      <c r="C19" s="5" t="s">
        <v>82</v>
      </c>
      <c r="D19" s="5"/>
      <c r="E19" s="10"/>
      <c r="F19" s="5" t="s">
        <v>246</v>
      </c>
      <c r="G19" s="20" t="s">
        <v>200</v>
      </c>
      <c r="H19" s="5"/>
      <c r="I19" s="5" t="s">
        <v>247</v>
      </c>
    </row>
    <row r="20" customFormat="false" ht="23.25" hidden="false" customHeight="true" outlineLevel="0" collapsed="false">
      <c r="A20" s="5" t="s">
        <v>248</v>
      </c>
      <c r="B20" s="5" t="s">
        <v>249</v>
      </c>
      <c r="C20" s="5" t="s">
        <v>55</v>
      </c>
      <c r="D20" s="5"/>
      <c r="E20" s="10"/>
      <c r="F20" s="5" t="s">
        <v>250</v>
      </c>
      <c r="G20" s="20" t="s">
        <v>200</v>
      </c>
      <c r="H20" s="5"/>
      <c r="I20" s="5" t="s">
        <v>251</v>
      </c>
    </row>
    <row r="21" customFormat="false" ht="15" hidden="false" customHeight="true" outlineLevel="0" collapsed="false">
      <c r="A21" s="5" t="s">
        <v>252</v>
      </c>
      <c r="B21" s="5" t="s">
        <v>253</v>
      </c>
      <c r="C21" s="5" t="s">
        <v>55</v>
      </c>
      <c r="D21" s="5"/>
      <c r="E21" s="10"/>
      <c r="F21" s="5" t="s">
        <v>254</v>
      </c>
      <c r="G21" s="20" t="s">
        <v>200</v>
      </c>
      <c r="H21" s="5"/>
      <c r="I21" s="5" t="s">
        <v>255</v>
      </c>
    </row>
    <row r="22" customFormat="false" ht="15" hidden="false" customHeight="true" outlineLevel="0" collapsed="false">
      <c r="A22" s="5" t="s">
        <v>256</v>
      </c>
      <c r="B22" s="5" t="s">
        <v>257</v>
      </c>
      <c r="C22" s="5" t="s">
        <v>55</v>
      </c>
      <c r="D22" s="5"/>
      <c r="E22" s="10"/>
      <c r="F22" s="5" t="s">
        <v>258</v>
      </c>
      <c r="G22" s="20" t="s">
        <v>200</v>
      </c>
      <c r="H22" s="5"/>
      <c r="I22" s="5" t="s">
        <v>255</v>
      </c>
    </row>
    <row r="24" customFormat="false" ht="15" hidden="false" customHeight="true" outlineLevel="0" collapsed="false">
      <c r="A24" s="21" t="s">
        <v>259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34"/>
  </cols>
  <sheetData>
    <row r="1" customFormat="false" ht="27.75" hidden="false" customHeight="true" outlineLevel="0" collapsed="false">
      <c r="A1" s="2" t="s">
        <v>260</v>
      </c>
      <c r="B1" s="2"/>
      <c r="C1" s="2"/>
      <c r="D1" s="2"/>
      <c r="E1" s="2"/>
      <c r="F1" s="2"/>
    </row>
    <row r="2" customFormat="false" ht="25.5" hidden="false" customHeight="true" outlineLevel="0" collapsed="false">
      <c r="A2" s="3" t="s">
        <v>261</v>
      </c>
      <c r="B2" s="3"/>
      <c r="C2" s="3"/>
      <c r="D2" s="3"/>
      <c r="E2" s="3"/>
      <c r="F2" s="3"/>
    </row>
    <row r="4" customFormat="false" ht="30" hidden="false" customHeight="true" outlineLevel="0" collapsed="false">
      <c r="A4" s="9" t="s">
        <v>262</v>
      </c>
      <c r="B4" s="9" t="s">
        <v>30</v>
      </c>
      <c r="C4" s="9" t="s">
        <v>263</v>
      </c>
      <c r="D4" s="9" t="s">
        <v>264</v>
      </c>
      <c r="E4" s="9" t="s">
        <v>265</v>
      </c>
      <c r="F4" s="9" t="s">
        <v>266</v>
      </c>
    </row>
    <row r="5" customFormat="false" ht="15" hidden="false" customHeight="true" outlineLevel="0" collapsed="false">
      <c r="A5" s="5" t="s">
        <v>267</v>
      </c>
      <c r="B5" s="5" t="s">
        <v>74</v>
      </c>
      <c r="C5" s="10" t="n">
        <v>600</v>
      </c>
      <c r="D5" s="10"/>
      <c r="E5" s="5" t="s">
        <v>268</v>
      </c>
      <c r="F5" s="5" t="s">
        <v>269</v>
      </c>
    </row>
    <row r="6" customFormat="false" ht="23.25" hidden="false" customHeight="true" outlineLevel="0" collapsed="false">
      <c r="A6" s="5" t="s">
        <v>270</v>
      </c>
      <c r="B6" s="5" t="s">
        <v>55</v>
      </c>
      <c r="C6" s="10" t="n">
        <v>3000</v>
      </c>
      <c r="D6" s="10"/>
      <c r="E6" s="5" t="s">
        <v>268</v>
      </c>
      <c r="F6" s="5" t="s">
        <v>271</v>
      </c>
    </row>
    <row r="7" customFormat="false" ht="23.25" hidden="false" customHeight="true" outlineLevel="0" collapsed="false">
      <c r="A7" s="5" t="s">
        <v>272</v>
      </c>
      <c r="B7" s="5" t="s">
        <v>39</v>
      </c>
      <c r="C7" s="10"/>
      <c r="D7" s="10"/>
      <c r="E7" s="5" t="s">
        <v>268</v>
      </c>
      <c r="F7" s="5" t="s">
        <v>273</v>
      </c>
    </row>
    <row r="8" customFormat="false" ht="15" hidden="false" customHeight="true" outlineLevel="0" collapsed="false">
      <c r="A8" s="5" t="s">
        <v>274</v>
      </c>
      <c r="B8" s="5" t="s">
        <v>55</v>
      </c>
      <c r="C8" s="10"/>
      <c r="D8" s="10"/>
      <c r="E8" s="5" t="s">
        <v>268</v>
      </c>
      <c r="F8" s="5" t="s">
        <v>275</v>
      </c>
    </row>
    <row r="9" customFormat="false" ht="23.25" hidden="false" customHeight="true" outlineLevel="0" collapsed="false">
      <c r="A9" s="5" t="s">
        <v>276</v>
      </c>
      <c r="B9" s="5" t="s">
        <v>82</v>
      </c>
      <c r="C9" s="10"/>
      <c r="D9" s="10"/>
      <c r="E9" s="5" t="s">
        <v>268</v>
      </c>
      <c r="F9" s="5" t="s">
        <v>277</v>
      </c>
    </row>
    <row r="10" customFormat="false" ht="23.25" hidden="false" customHeight="true" outlineLevel="0" collapsed="false">
      <c r="A10" s="5" t="s">
        <v>278</v>
      </c>
      <c r="B10" s="5" t="s">
        <v>279</v>
      </c>
      <c r="C10" s="10"/>
      <c r="D10" s="10"/>
      <c r="E10" s="5" t="s">
        <v>268</v>
      </c>
      <c r="F10" s="5" t="s">
        <v>280</v>
      </c>
    </row>
    <row r="11" customFormat="false" ht="15" hidden="false" customHeight="true" outlineLevel="0" collapsed="false">
      <c r="A11" s="5" t="s">
        <v>281</v>
      </c>
      <c r="B11" s="5" t="s">
        <v>82</v>
      </c>
      <c r="C11" s="10"/>
      <c r="D11" s="10"/>
      <c r="E11" s="5" t="s">
        <v>268</v>
      </c>
      <c r="F11" s="5" t="s">
        <v>282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34"/>
  </cols>
  <sheetData>
    <row r="1" customFormat="false" ht="27.75" hidden="false" customHeight="true" outlineLevel="0" collapsed="false">
      <c r="A1" s="2" t="s">
        <v>283</v>
      </c>
      <c r="B1" s="2"/>
      <c r="C1" s="2"/>
      <c r="D1" s="2"/>
    </row>
    <row r="2" customFormat="false" ht="25.5" hidden="false" customHeight="true" outlineLevel="0" collapsed="false">
      <c r="A2" s="3" t="s">
        <v>284</v>
      </c>
      <c r="B2" s="3"/>
      <c r="C2" s="3"/>
      <c r="D2" s="3"/>
    </row>
    <row r="4" customFormat="false" ht="30" hidden="false" customHeight="true" outlineLevel="0" collapsed="false">
      <c r="A4" s="9" t="s">
        <v>285</v>
      </c>
      <c r="B4" s="9" t="s">
        <v>286</v>
      </c>
      <c r="C4" s="9" t="s">
        <v>287</v>
      </c>
      <c r="D4" s="9" t="s">
        <v>36</v>
      </c>
    </row>
    <row r="5" customFormat="false" ht="15" hidden="false" customHeight="true" outlineLevel="0" collapsed="false">
      <c r="A5" s="4" t="s">
        <v>288</v>
      </c>
      <c r="B5" s="4"/>
      <c r="C5" s="4"/>
      <c r="D5" s="4"/>
    </row>
    <row r="6" customFormat="false" ht="15" hidden="false" customHeight="true" outlineLevel="0" collapsed="false">
      <c r="A6" s="5" t="s">
        <v>289</v>
      </c>
      <c r="B6" s="5" t="s">
        <v>290</v>
      </c>
      <c r="C6" s="5" t="s">
        <v>291</v>
      </c>
      <c r="D6" s="5" t="s">
        <v>292</v>
      </c>
    </row>
    <row r="7" customFormat="false" ht="15" hidden="false" customHeight="true" outlineLevel="0" collapsed="false">
      <c r="A7" s="5" t="s">
        <v>293</v>
      </c>
      <c r="B7" s="5" t="s">
        <v>294</v>
      </c>
      <c r="C7" s="5" t="s">
        <v>291</v>
      </c>
      <c r="D7" s="5" t="s">
        <v>295</v>
      </c>
    </row>
    <row r="8" customFormat="false" ht="15" hidden="false" customHeight="true" outlineLevel="0" collapsed="false">
      <c r="A8" s="5" t="s">
        <v>296</v>
      </c>
      <c r="B8" s="5" t="s">
        <v>297</v>
      </c>
      <c r="C8" s="5" t="s">
        <v>291</v>
      </c>
      <c r="D8" s="5" t="s">
        <v>298</v>
      </c>
    </row>
    <row r="9" customFormat="false" ht="15" hidden="false" customHeight="true" outlineLevel="0" collapsed="false">
      <c r="A9" s="5" t="s">
        <v>299</v>
      </c>
      <c r="B9" s="5" t="s">
        <v>300</v>
      </c>
      <c r="C9" s="5" t="s">
        <v>291</v>
      </c>
      <c r="D9" s="5" t="s">
        <v>301</v>
      </c>
    </row>
    <row r="10" customFormat="false" ht="15" hidden="false" customHeight="true" outlineLevel="0" collapsed="false">
      <c r="A10" s="5" t="s">
        <v>302</v>
      </c>
      <c r="B10" s="5" t="s">
        <v>303</v>
      </c>
      <c r="C10" s="5"/>
      <c r="D10" s="5"/>
    </row>
    <row r="11" customFormat="false" ht="15" hidden="false" customHeight="true" outlineLevel="0" collapsed="false">
      <c r="A11" s="4" t="s">
        <v>304</v>
      </c>
      <c r="B11" s="4"/>
      <c r="C11" s="4"/>
      <c r="D11" s="4"/>
    </row>
    <row r="12" customFormat="false" ht="15" hidden="false" customHeight="true" outlineLevel="0" collapsed="false">
      <c r="A12" s="5" t="s">
        <v>305</v>
      </c>
      <c r="B12" s="5" t="s">
        <v>306</v>
      </c>
      <c r="C12" s="5" t="s">
        <v>307</v>
      </c>
      <c r="D12" s="5" t="s">
        <v>308</v>
      </c>
    </row>
    <row r="13" customFormat="false" ht="15" hidden="false" customHeight="true" outlineLevel="0" collapsed="false">
      <c r="A13" s="5" t="s">
        <v>309</v>
      </c>
      <c r="B13" s="5" t="s">
        <v>310</v>
      </c>
      <c r="C13" s="5" t="s">
        <v>311</v>
      </c>
      <c r="D13" s="5"/>
    </row>
    <row r="14" customFormat="false" ht="15" hidden="false" customHeight="true" outlineLevel="0" collapsed="false">
      <c r="A14" s="5" t="s">
        <v>312</v>
      </c>
      <c r="B14" s="5" t="s">
        <v>313</v>
      </c>
      <c r="C14" s="5" t="s">
        <v>314</v>
      </c>
      <c r="D14" s="5"/>
    </row>
    <row r="15" customFormat="false" ht="15" hidden="false" customHeight="true" outlineLevel="0" collapsed="false">
      <c r="A15" s="5" t="s">
        <v>315</v>
      </c>
      <c r="B15" s="5" t="s">
        <v>316</v>
      </c>
      <c r="C15" s="5" t="s">
        <v>317</v>
      </c>
      <c r="D15" s="5"/>
    </row>
    <row r="16" customFormat="false" ht="15" hidden="false" customHeight="true" outlineLevel="0" collapsed="false">
      <c r="A16" s="5" t="s">
        <v>318</v>
      </c>
      <c r="B16" s="5" t="s">
        <v>316</v>
      </c>
      <c r="C16" s="5" t="s">
        <v>317</v>
      </c>
      <c r="D16" s="5"/>
    </row>
    <row r="17" customFormat="false" ht="15" hidden="false" customHeight="true" outlineLevel="0" collapsed="false">
      <c r="A17" s="5" t="s">
        <v>319</v>
      </c>
      <c r="B17" s="5" t="s">
        <v>320</v>
      </c>
      <c r="C17" s="5"/>
      <c r="D17" s="5"/>
    </row>
    <row r="18" customFormat="false" ht="15" hidden="false" customHeight="true" outlineLevel="0" collapsed="false">
      <c r="A18" s="4" t="s">
        <v>321</v>
      </c>
      <c r="B18" s="4"/>
      <c r="C18" s="4"/>
      <c r="D18" s="4"/>
    </row>
    <row r="19" customFormat="false" ht="15" hidden="false" customHeight="true" outlineLevel="0" collapsed="false">
      <c r="A19" s="5" t="s">
        <v>322</v>
      </c>
      <c r="B19" s="5" t="s">
        <v>323</v>
      </c>
      <c r="C19" s="5"/>
      <c r="D19" s="5" t="s">
        <v>324</v>
      </c>
    </row>
    <row r="20" customFormat="false" ht="15" hidden="false" customHeight="true" outlineLevel="0" collapsed="false">
      <c r="A20" s="5" t="s">
        <v>325</v>
      </c>
      <c r="B20" s="5" t="s">
        <v>326</v>
      </c>
      <c r="C20" s="5"/>
      <c r="D20" s="5"/>
    </row>
    <row r="21" customFormat="false" ht="15" hidden="false" customHeight="true" outlineLevel="0" collapsed="false">
      <c r="A21" s="5" t="s">
        <v>327</v>
      </c>
      <c r="B21" s="5" t="s">
        <v>328</v>
      </c>
      <c r="C21" s="5"/>
      <c r="D21" s="5" t="s">
        <v>329</v>
      </c>
    </row>
    <row r="22" customFormat="false" ht="15" hidden="false" customHeight="true" outlineLevel="0" collapsed="false">
      <c r="A22" s="5" t="s">
        <v>12</v>
      </c>
      <c r="B22" s="5" t="s">
        <v>330</v>
      </c>
      <c r="C22" s="5" t="s">
        <v>331</v>
      </c>
      <c r="D22" s="5" t="s">
        <v>332</v>
      </c>
    </row>
    <row r="24" customFormat="false" ht="15" hidden="false" customHeight="true" outlineLevel="0" collapsed="false">
      <c r="A24" s="21" t="s">
        <v>333</v>
      </c>
    </row>
    <row r="26" customFormat="false" ht="15" hidden="false" customHeight="false" outlineLevel="0" collapsed="false">
      <c r="A26" s="6" t="s">
        <v>334</v>
      </c>
    </row>
    <row r="27" customFormat="false" ht="48" hidden="false" customHeight="true" outlineLevel="0" collapsed="false">
      <c r="A27" s="22" t="s">
        <v>335</v>
      </c>
      <c r="B27" s="22"/>
      <c r="C27" s="22"/>
      <c r="D27" s="22"/>
    </row>
  </sheetData>
  <mergeCells count="3">
    <mergeCell ref="A1:D1"/>
    <mergeCell ref="A2:D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336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337</v>
      </c>
      <c r="B2" s="3"/>
      <c r="C2" s="3"/>
      <c r="D2" s="3"/>
      <c r="E2" s="3"/>
    </row>
    <row r="4" customFormat="false" ht="30" hidden="false" customHeight="true" outlineLevel="0" collapsed="false">
      <c r="A4" s="9" t="s">
        <v>338</v>
      </c>
      <c r="B4" s="9" t="s">
        <v>339</v>
      </c>
      <c r="C4" s="9" t="s">
        <v>340</v>
      </c>
      <c r="D4" s="9" t="s">
        <v>35</v>
      </c>
      <c r="E4" s="9" t="s">
        <v>36</v>
      </c>
    </row>
    <row r="5" customFormat="false" ht="23.25" hidden="false" customHeight="true" outlineLevel="0" collapsed="false">
      <c r="A5" s="5" t="s">
        <v>341</v>
      </c>
      <c r="B5" s="5" t="s">
        <v>342</v>
      </c>
      <c r="C5" s="5" t="s">
        <v>343</v>
      </c>
      <c r="D5" s="20" t="s">
        <v>200</v>
      </c>
      <c r="E5" s="5" t="s">
        <v>344</v>
      </c>
    </row>
    <row r="6" customFormat="false" ht="15" hidden="false" customHeight="true" outlineLevel="0" collapsed="false">
      <c r="A6" s="5" t="s">
        <v>345</v>
      </c>
      <c r="B6" s="5" t="s">
        <v>346</v>
      </c>
      <c r="C6" s="5" t="s">
        <v>343</v>
      </c>
      <c r="D6" s="14" t="s">
        <v>207</v>
      </c>
      <c r="E6" s="5" t="s">
        <v>347</v>
      </c>
    </row>
    <row r="7" customFormat="false" ht="15" hidden="false" customHeight="true" outlineLevel="0" collapsed="false">
      <c r="A7" s="5" t="s">
        <v>348</v>
      </c>
      <c r="B7" s="5" t="s">
        <v>349</v>
      </c>
      <c r="C7" s="5" t="s">
        <v>350</v>
      </c>
      <c r="D7" s="20" t="s">
        <v>200</v>
      </c>
      <c r="E7" s="5" t="s">
        <v>351</v>
      </c>
    </row>
    <row r="8" customFormat="false" ht="15" hidden="false" customHeight="true" outlineLevel="0" collapsed="false">
      <c r="A8" s="5" t="s">
        <v>352</v>
      </c>
      <c r="B8" s="5" t="s">
        <v>353</v>
      </c>
      <c r="C8" s="5" t="s">
        <v>350</v>
      </c>
      <c r="D8" s="14" t="s">
        <v>207</v>
      </c>
      <c r="E8" s="5" t="s">
        <v>354</v>
      </c>
    </row>
    <row r="9" customFormat="false" ht="23.25" hidden="false" customHeight="true" outlineLevel="0" collapsed="false">
      <c r="A9" s="5" t="s">
        <v>355</v>
      </c>
      <c r="B9" s="5" t="s">
        <v>356</v>
      </c>
      <c r="C9" s="5" t="s">
        <v>350</v>
      </c>
      <c r="D9" s="20" t="s">
        <v>200</v>
      </c>
      <c r="E9" s="5" t="s">
        <v>357</v>
      </c>
    </row>
    <row r="10" customFormat="false" ht="15" hidden="false" customHeight="true" outlineLevel="0" collapsed="false">
      <c r="A10" s="5" t="s">
        <v>358</v>
      </c>
      <c r="B10" s="5" t="s">
        <v>359</v>
      </c>
      <c r="C10" s="5" t="s">
        <v>350</v>
      </c>
      <c r="D10" s="20" t="s">
        <v>200</v>
      </c>
      <c r="E10" s="5"/>
    </row>
    <row r="11" customFormat="false" ht="15" hidden="false" customHeight="true" outlineLevel="0" collapsed="false">
      <c r="A11" s="5" t="s">
        <v>360</v>
      </c>
      <c r="B11" s="5" t="s">
        <v>361</v>
      </c>
      <c r="C11" s="5" t="s">
        <v>362</v>
      </c>
      <c r="D11" s="20" t="s">
        <v>200</v>
      </c>
      <c r="E11" s="5"/>
    </row>
    <row r="12" customFormat="false" ht="15" hidden="false" customHeight="true" outlineLevel="0" collapsed="false">
      <c r="A12" s="5" t="s">
        <v>363</v>
      </c>
      <c r="B12" s="5" t="s">
        <v>364</v>
      </c>
      <c r="C12" s="5" t="s">
        <v>350</v>
      </c>
      <c r="D12" s="14" t="s">
        <v>207</v>
      </c>
      <c r="E12" s="5"/>
    </row>
    <row r="13" customFormat="false" ht="23.25" hidden="false" customHeight="true" outlineLevel="0" collapsed="false">
      <c r="A13" s="5" t="s">
        <v>365</v>
      </c>
      <c r="B13" s="5" t="s">
        <v>366</v>
      </c>
      <c r="C13" s="5" t="s">
        <v>350</v>
      </c>
      <c r="D13" s="20" t="s">
        <v>200</v>
      </c>
      <c r="E13" s="5" t="s">
        <v>255</v>
      </c>
    </row>
    <row r="14" customFormat="false" ht="15" hidden="false" customHeight="true" outlineLevel="0" collapsed="false">
      <c r="A14" s="5" t="s">
        <v>367</v>
      </c>
      <c r="B14" s="5" t="s">
        <v>368</v>
      </c>
      <c r="C14" s="5" t="s">
        <v>350</v>
      </c>
      <c r="D14" s="20" t="s">
        <v>200</v>
      </c>
      <c r="E14" s="5"/>
    </row>
    <row r="15" customFormat="false" ht="15" hidden="false" customHeight="true" outlineLevel="0" collapsed="false">
      <c r="A15" s="5" t="s">
        <v>369</v>
      </c>
      <c r="B15" s="5" t="s">
        <v>370</v>
      </c>
      <c r="C15" s="5" t="s">
        <v>350</v>
      </c>
      <c r="D15" s="20" t="s">
        <v>200</v>
      </c>
      <c r="E15" s="5" t="s">
        <v>371</v>
      </c>
    </row>
    <row r="16" customFormat="false" ht="15" hidden="false" customHeight="true" outlineLevel="0" collapsed="false">
      <c r="A16" s="5" t="s">
        <v>372</v>
      </c>
      <c r="B16" s="5" t="s">
        <v>373</v>
      </c>
      <c r="C16" s="5" t="s">
        <v>350</v>
      </c>
      <c r="D16" s="20" t="s">
        <v>200</v>
      </c>
      <c r="E16" s="5"/>
    </row>
    <row r="17" customFormat="false" ht="15" hidden="false" customHeight="true" outlineLevel="0" collapsed="false">
      <c r="A17" s="5" t="s">
        <v>374</v>
      </c>
      <c r="B17" s="5" t="s">
        <v>375</v>
      </c>
      <c r="C17" s="5" t="s">
        <v>376</v>
      </c>
      <c r="D17" s="20" t="s">
        <v>200</v>
      </c>
      <c r="E17" s="5" t="s">
        <v>377</v>
      </c>
    </row>
    <row r="18" customFormat="false" ht="15" hidden="false" customHeight="true" outlineLevel="0" collapsed="false">
      <c r="A18" s="5" t="s">
        <v>378</v>
      </c>
      <c r="B18" s="5" t="s">
        <v>379</v>
      </c>
      <c r="C18" s="5" t="s">
        <v>350</v>
      </c>
      <c r="D18" s="20" t="s">
        <v>200</v>
      </c>
      <c r="E18" s="5"/>
    </row>
    <row r="19" customFormat="false" ht="23.25" hidden="false" customHeight="true" outlineLevel="0" collapsed="false">
      <c r="A19" s="5" t="s">
        <v>380</v>
      </c>
      <c r="B19" s="5" t="s">
        <v>381</v>
      </c>
      <c r="C19" s="5" t="s">
        <v>343</v>
      </c>
      <c r="D19" s="20" t="s">
        <v>200</v>
      </c>
      <c r="E19" s="5" t="s">
        <v>382</v>
      </c>
    </row>
    <row r="20" customFormat="false" ht="15" hidden="false" customHeight="true" outlineLevel="0" collapsed="false">
      <c r="A20" s="5" t="s">
        <v>383</v>
      </c>
      <c r="B20" s="5" t="s">
        <v>384</v>
      </c>
      <c r="C20" s="5" t="s">
        <v>343</v>
      </c>
      <c r="D20" s="20" t="s">
        <v>200</v>
      </c>
      <c r="E20" s="5" t="s">
        <v>385</v>
      </c>
    </row>
    <row r="21" customFormat="false" ht="23.25" hidden="false" customHeight="true" outlineLevel="0" collapsed="false">
      <c r="A21" s="5" t="s">
        <v>386</v>
      </c>
      <c r="B21" s="5" t="s">
        <v>387</v>
      </c>
      <c r="C21" s="5" t="s">
        <v>388</v>
      </c>
      <c r="D21" s="20" t="s">
        <v>200</v>
      </c>
      <c r="E21" s="5" t="s">
        <v>389</v>
      </c>
    </row>
    <row r="22" customFormat="false" ht="23.25" hidden="false" customHeight="true" outlineLevel="0" collapsed="false">
      <c r="A22" s="5" t="s">
        <v>390</v>
      </c>
      <c r="B22" s="5" t="s">
        <v>391</v>
      </c>
      <c r="C22" s="5" t="s">
        <v>350</v>
      </c>
      <c r="D22" s="20" t="s">
        <v>200</v>
      </c>
      <c r="E22" s="5"/>
    </row>
    <row r="23" customFormat="false" ht="23.25" hidden="false" customHeight="true" outlineLevel="0" collapsed="false">
      <c r="A23" s="5" t="s">
        <v>392</v>
      </c>
      <c r="B23" s="5" t="s">
        <v>393</v>
      </c>
      <c r="C23" s="5" t="s">
        <v>350</v>
      </c>
      <c r="D23" s="20" t="s">
        <v>200</v>
      </c>
      <c r="E23" s="5"/>
    </row>
    <row r="24" customFormat="false" ht="15" hidden="false" customHeight="true" outlineLevel="0" collapsed="false">
      <c r="A24" s="5" t="s">
        <v>394</v>
      </c>
      <c r="B24" s="5" t="s">
        <v>395</v>
      </c>
      <c r="C24" s="5" t="s">
        <v>396</v>
      </c>
      <c r="D24" s="11" t="s">
        <v>170</v>
      </c>
      <c r="E24" s="5" t="s">
        <v>397</v>
      </c>
    </row>
    <row r="25" customFormat="false" ht="15" hidden="false" customHeight="true" outlineLevel="0" collapsed="false">
      <c r="A25" s="5" t="s">
        <v>398</v>
      </c>
      <c r="B25" s="5" t="s">
        <v>219</v>
      </c>
      <c r="C25" s="5" t="s">
        <v>399</v>
      </c>
      <c r="D25" s="14" t="s">
        <v>207</v>
      </c>
      <c r="E25" s="5"/>
    </row>
    <row r="26" customFormat="false" ht="35.05" hidden="false" customHeight="false" outlineLevel="0" collapsed="false">
      <c r="A26" s="7" t="s">
        <v>400</v>
      </c>
      <c r="B26" s="7" t="s">
        <v>401</v>
      </c>
      <c r="C26" s="7" t="s">
        <v>388</v>
      </c>
      <c r="D26" s="23" t="s">
        <v>200</v>
      </c>
      <c r="E26" s="7" t="s">
        <v>402</v>
      </c>
    </row>
    <row r="27" customFormat="false" ht="23.85" hidden="false" customHeight="false" outlineLevel="0" collapsed="false">
      <c r="A27" s="7" t="s">
        <v>403</v>
      </c>
      <c r="B27" s="7" t="s">
        <v>404</v>
      </c>
      <c r="C27" s="7" t="s">
        <v>343</v>
      </c>
      <c r="D27" s="23" t="s">
        <v>200</v>
      </c>
      <c r="E27" s="7" t="s">
        <v>405</v>
      </c>
    </row>
    <row r="28" customFormat="false" ht="35.05" hidden="false" customHeight="false" outlineLevel="0" collapsed="false">
      <c r="A28" s="7" t="s">
        <v>177</v>
      </c>
      <c r="B28" s="7" t="s">
        <v>406</v>
      </c>
      <c r="C28" s="7" t="s">
        <v>407</v>
      </c>
      <c r="D28" s="23" t="s">
        <v>207</v>
      </c>
      <c r="E28" s="7" t="s">
        <v>408</v>
      </c>
    </row>
    <row r="29" customFormat="false" ht="15" hidden="false" customHeight="false" outlineLevel="0" collapsed="false">
      <c r="A29" s="7" t="s">
        <v>409</v>
      </c>
      <c r="B29" s="7" t="s">
        <v>410</v>
      </c>
      <c r="C29" s="7" t="s">
        <v>343</v>
      </c>
      <c r="D29" s="23" t="s">
        <v>200</v>
      </c>
      <c r="E29" s="7" t="s">
        <v>411</v>
      </c>
    </row>
    <row r="30" customFormat="false" ht="23.85" hidden="false" customHeight="false" outlineLevel="0" collapsed="false">
      <c r="A30" s="7" t="s">
        <v>412</v>
      </c>
      <c r="B30" s="7" t="s">
        <v>413</v>
      </c>
      <c r="C30" s="7" t="s">
        <v>343</v>
      </c>
      <c r="D30" s="23" t="s">
        <v>200</v>
      </c>
      <c r="E30" s="7" t="s">
        <v>414</v>
      </c>
    </row>
    <row r="31" customFormat="false" ht="15" hidden="false" customHeight="false" outlineLevel="0" collapsed="false">
      <c r="A31" s="7" t="s">
        <v>415</v>
      </c>
      <c r="B31" s="7" t="s">
        <v>416</v>
      </c>
      <c r="C31" s="7" t="s">
        <v>343</v>
      </c>
      <c r="D31" s="23" t="s">
        <v>200</v>
      </c>
      <c r="E31" s="7" t="s">
        <v>417</v>
      </c>
    </row>
    <row r="32" customFormat="false" ht="23.85" hidden="false" customHeight="false" outlineLevel="0" collapsed="false">
      <c r="A32" s="7" t="s">
        <v>418</v>
      </c>
      <c r="B32" s="7" t="s">
        <v>419</v>
      </c>
      <c r="C32" s="7" t="s">
        <v>343</v>
      </c>
      <c r="D32" s="23" t="s">
        <v>207</v>
      </c>
      <c r="E32" s="7" t="s">
        <v>420</v>
      </c>
    </row>
    <row r="33" customFormat="false" ht="23.85" hidden="false" customHeight="false" outlineLevel="0" collapsed="false">
      <c r="A33" s="7" t="s">
        <v>421</v>
      </c>
      <c r="B33" s="7" t="s">
        <v>422</v>
      </c>
      <c r="C33" s="7" t="s">
        <v>350</v>
      </c>
      <c r="D33" s="23" t="s">
        <v>200</v>
      </c>
      <c r="E33" s="7" t="s">
        <v>423</v>
      </c>
    </row>
    <row r="34" customFormat="false" ht="23.85" hidden="false" customHeight="false" outlineLevel="0" collapsed="false">
      <c r="A34" s="7" t="s">
        <v>424</v>
      </c>
      <c r="B34" s="7" t="s">
        <v>425</v>
      </c>
      <c r="C34" s="7" t="s">
        <v>350</v>
      </c>
      <c r="D34" s="23" t="s">
        <v>200</v>
      </c>
      <c r="E34" s="7" t="s">
        <v>426</v>
      </c>
    </row>
    <row r="35" customFormat="false" ht="23.85" hidden="false" customHeight="false" outlineLevel="0" collapsed="false">
      <c r="A35" s="7" t="s">
        <v>427</v>
      </c>
      <c r="B35" s="7" t="s">
        <v>428</v>
      </c>
      <c r="C35" s="7" t="s">
        <v>350</v>
      </c>
      <c r="D35" s="23" t="s">
        <v>200</v>
      </c>
      <c r="E35" s="7" t="s">
        <v>429</v>
      </c>
    </row>
    <row r="36" customFormat="false" ht="23.85" hidden="false" customHeight="false" outlineLevel="0" collapsed="false">
      <c r="A36" s="7" t="s">
        <v>430</v>
      </c>
      <c r="B36" s="7" t="s">
        <v>431</v>
      </c>
      <c r="C36" s="7" t="s">
        <v>350</v>
      </c>
      <c r="D36" s="23" t="s">
        <v>200</v>
      </c>
      <c r="E36" s="7" t="s">
        <v>432</v>
      </c>
    </row>
    <row r="37" customFormat="false" ht="23.85" hidden="false" customHeight="false" outlineLevel="0" collapsed="false">
      <c r="A37" s="7" t="s">
        <v>433</v>
      </c>
      <c r="B37" s="7" t="s">
        <v>434</v>
      </c>
      <c r="C37" s="7" t="s">
        <v>350</v>
      </c>
      <c r="D37" s="23" t="s">
        <v>200</v>
      </c>
      <c r="E37" s="7" t="s">
        <v>435</v>
      </c>
    </row>
    <row r="38" customFormat="false" ht="15" hidden="false" customHeight="false" outlineLevel="0" collapsed="false">
      <c r="A38" s="7" t="s">
        <v>436</v>
      </c>
      <c r="B38" s="7" t="s">
        <v>437</v>
      </c>
      <c r="C38" s="7" t="s">
        <v>343</v>
      </c>
      <c r="D38" s="23" t="s">
        <v>200</v>
      </c>
      <c r="E38" s="7" t="s">
        <v>438</v>
      </c>
    </row>
    <row r="39" customFormat="false" ht="23.85" hidden="false" customHeight="false" outlineLevel="0" collapsed="false">
      <c r="A39" s="7" t="s">
        <v>439</v>
      </c>
      <c r="B39" s="7" t="s">
        <v>440</v>
      </c>
      <c r="C39" s="7" t="s">
        <v>343</v>
      </c>
      <c r="D39" s="23" t="s">
        <v>207</v>
      </c>
      <c r="E39" s="7" t="s">
        <v>441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30"/>
  </cols>
  <sheetData>
    <row r="1" customFormat="false" ht="27.75" hidden="false" customHeight="true" outlineLevel="0" collapsed="false">
      <c r="A1" s="2" t="s">
        <v>442</v>
      </c>
      <c r="B1" s="2"/>
      <c r="C1" s="2"/>
      <c r="D1" s="2"/>
    </row>
    <row r="2" customFormat="false" ht="25.5" hidden="false" customHeight="true" outlineLevel="0" collapsed="false">
      <c r="A2" s="3" t="s">
        <v>443</v>
      </c>
      <c r="B2" s="3"/>
      <c r="C2" s="3"/>
      <c r="D2" s="3"/>
    </row>
    <row r="4" customFormat="false" ht="30" hidden="false" customHeight="true" outlineLevel="0" collapsed="false">
      <c r="A4" s="9" t="s">
        <v>444</v>
      </c>
      <c r="B4" s="9" t="s">
        <v>445</v>
      </c>
      <c r="C4" s="9" t="s">
        <v>35</v>
      </c>
      <c r="D4" s="9" t="s">
        <v>36</v>
      </c>
    </row>
    <row r="5" customFormat="false" ht="15" hidden="false" customHeight="true" outlineLevel="0" collapsed="false">
      <c r="A5" s="5" t="s">
        <v>446</v>
      </c>
      <c r="B5" s="5" t="s">
        <v>447</v>
      </c>
      <c r="C5" s="14" t="s">
        <v>448</v>
      </c>
      <c r="D5" s="5" t="s">
        <v>449</v>
      </c>
    </row>
    <row r="6" customFormat="false" ht="15" hidden="false" customHeight="true" outlineLevel="0" collapsed="false">
      <c r="A6" s="5" t="s">
        <v>450</v>
      </c>
      <c r="B6" s="5" t="s">
        <v>451</v>
      </c>
      <c r="C6" s="20" t="s">
        <v>452</v>
      </c>
      <c r="D6" s="5" t="s">
        <v>453</v>
      </c>
    </row>
    <row r="7" customFormat="false" ht="15" hidden="false" customHeight="true" outlineLevel="0" collapsed="false">
      <c r="A7" s="5" t="s">
        <v>454</v>
      </c>
      <c r="B7" s="5" t="s">
        <v>455</v>
      </c>
      <c r="C7" s="20" t="s">
        <v>452</v>
      </c>
      <c r="D7" s="5"/>
    </row>
    <row r="8" customFormat="false" ht="23.25" hidden="false" customHeight="true" outlineLevel="0" collapsed="false">
      <c r="A8" s="5" t="s">
        <v>456</v>
      </c>
      <c r="B8" s="5" t="s">
        <v>457</v>
      </c>
      <c r="C8" s="11" t="s">
        <v>458</v>
      </c>
      <c r="D8" s="5" t="s">
        <v>459</v>
      </c>
    </row>
    <row r="9" customFormat="false" ht="15" hidden="false" customHeight="true" outlineLevel="0" collapsed="false">
      <c r="A9" s="5" t="s">
        <v>460</v>
      </c>
      <c r="B9" s="5" t="s">
        <v>461</v>
      </c>
      <c r="C9" s="11" t="s">
        <v>458</v>
      </c>
      <c r="D9" s="5" t="s">
        <v>462</v>
      </c>
    </row>
    <row r="10" customFormat="false" ht="23.25" hidden="false" customHeight="true" outlineLevel="0" collapsed="false">
      <c r="A10" s="5" t="s">
        <v>463</v>
      </c>
      <c r="B10" s="5" t="s">
        <v>464</v>
      </c>
      <c r="C10" s="11" t="s">
        <v>465</v>
      </c>
      <c r="D10" s="5" t="s">
        <v>466</v>
      </c>
    </row>
    <row r="11" customFormat="false" ht="15" hidden="false" customHeight="true" outlineLevel="0" collapsed="false">
      <c r="A11" s="5" t="s">
        <v>467</v>
      </c>
      <c r="B11" s="5" t="s">
        <v>468</v>
      </c>
      <c r="C11" s="14" t="s">
        <v>469</v>
      </c>
      <c r="D11" s="5"/>
    </row>
    <row r="12" customFormat="false" ht="15" hidden="false" customHeight="true" outlineLevel="0" collapsed="false">
      <c r="A12" s="5" t="s">
        <v>470</v>
      </c>
      <c r="B12" s="5" t="s">
        <v>471</v>
      </c>
      <c r="C12" s="14" t="s">
        <v>469</v>
      </c>
      <c r="D12" s="5" t="s">
        <v>472</v>
      </c>
    </row>
    <row r="13" customFormat="false" ht="15" hidden="false" customHeight="true" outlineLevel="0" collapsed="false">
      <c r="A13" s="5" t="s">
        <v>473</v>
      </c>
      <c r="B13" s="5" t="s">
        <v>474</v>
      </c>
      <c r="C13" s="14" t="s">
        <v>469</v>
      </c>
      <c r="D13" s="5"/>
    </row>
    <row r="14" customFormat="false" ht="15" hidden="false" customHeight="true" outlineLevel="0" collapsed="false">
      <c r="A14" s="5" t="s">
        <v>475</v>
      </c>
      <c r="B14" s="5" t="s">
        <v>476</v>
      </c>
      <c r="C14" s="14" t="s">
        <v>469</v>
      </c>
      <c r="D14" s="5"/>
    </row>
    <row r="15" customFormat="false" ht="15" hidden="false" customHeight="true" outlineLevel="0" collapsed="false">
      <c r="A15" s="5" t="s">
        <v>477</v>
      </c>
      <c r="B15" s="5" t="s">
        <v>478</v>
      </c>
      <c r="C15" s="14" t="s">
        <v>469</v>
      </c>
      <c r="D15" s="5" t="s">
        <v>479</v>
      </c>
    </row>
    <row r="16" customFormat="false" ht="23.25" hidden="false" customHeight="true" outlineLevel="0" collapsed="false">
      <c r="A16" s="5" t="s">
        <v>480</v>
      </c>
      <c r="B16" s="5" t="s">
        <v>481</v>
      </c>
      <c r="C16" s="14" t="s">
        <v>482</v>
      </c>
      <c r="D16" s="5" t="s">
        <v>483</v>
      </c>
    </row>
    <row r="17" customFormat="false" ht="15" hidden="false" customHeight="true" outlineLevel="0" collapsed="false">
      <c r="A17" s="5" t="s">
        <v>484</v>
      </c>
      <c r="B17" s="5" t="s">
        <v>485</v>
      </c>
      <c r="C17" s="20" t="s">
        <v>452</v>
      </c>
      <c r="D17" s="5" t="s">
        <v>486</v>
      </c>
    </row>
    <row r="18" customFormat="false" ht="23.25" hidden="false" customHeight="true" outlineLevel="0" collapsed="false">
      <c r="A18" s="5" t="s">
        <v>487</v>
      </c>
      <c r="B18" s="5" t="s">
        <v>488</v>
      </c>
      <c r="C18" s="20" t="s">
        <v>452</v>
      </c>
      <c r="D18" s="5" t="s">
        <v>489</v>
      </c>
    </row>
    <row r="19" customFormat="false" ht="23.25" hidden="false" customHeight="true" outlineLevel="0" collapsed="false">
      <c r="A19" s="5" t="s">
        <v>490</v>
      </c>
      <c r="B19" s="5" t="s">
        <v>491</v>
      </c>
      <c r="C19" s="20" t="s">
        <v>452</v>
      </c>
      <c r="D19" s="5" t="s">
        <v>492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26"/>
    <col collapsed="false" customWidth="true" hidden="false" outlineLevel="0" max="6" min="6" style="1" width="18"/>
    <col collapsed="false" customWidth="true" hidden="false" outlineLevel="0" max="7" min="7" style="1" width="22"/>
  </cols>
  <sheetData>
    <row r="1" customFormat="false" ht="27.75" hidden="false" customHeight="true" outlineLevel="0" collapsed="false">
      <c r="A1" s="2" t="s">
        <v>493</v>
      </c>
      <c r="B1" s="2"/>
      <c r="C1" s="2"/>
      <c r="D1" s="2"/>
      <c r="E1" s="2"/>
      <c r="F1" s="2"/>
      <c r="G1" s="2"/>
    </row>
    <row r="2" customFormat="false" ht="25.5" hidden="false" customHeight="true" outlineLevel="0" collapsed="false">
      <c r="A2" s="3" t="s">
        <v>494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9" t="s">
        <v>495</v>
      </c>
      <c r="B4" s="9" t="s">
        <v>496</v>
      </c>
      <c r="C4" s="9" t="s">
        <v>497</v>
      </c>
      <c r="D4" s="9" t="s">
        <v>498</v>
      </c>
      <c r="E4" s="9" t="s">
        <v>499</v>
      </c>
      <c r="F4" s="9" t="s">
        <v>500</v>
      </c>
      <c r="G4" s="9" t="s">
        <v>36</v>
      </c>
    </row>
    <row r="5" customFormat="false" ht="34.5" hidden="false" customHeight="true" outlineLevel="0" collapsed="false">
      <c r="A5" s="5" t="s">
        <v>501</v>
      </c>
      <c r="B5" s="5" t="s">
        <v>502</v>
      </c>
      <c r="C5" s="5" t="s">
        <v>503</v>
      </c>
      <c r="D5" s="5" t="s">
        <v>504</v>
      </c>
      <c r="E5" s="5" t="s">
        <v>505</v>
      </c>
      <c r="F5" s="5" t="s">
        <v>506</v>
      </c>
      <c r="G5" s="5" t="s">
        <v>507</v>
      </c>
    </row>
    <row r="6" customFormat="false" ht="23.25" hidden="false" customHeight="true" outlineLevel="0" collapsed="false">
      <c r="A6" s="5" t="s">
        <v>508</v>
      </c>
      <c r="B6" s="5" t="s">
        <v>509</v>
      </c>
      <c r="C6" s="5" t="s">
        <v>510</v>
      </c>
      <c r="D6" s="12" t="s">
        <v>511</v>
      </c>
      <c r="E6" s="5" t="s">
        <v>512</v>
      </c>
      <c r="F6" s="24" t="s">
        <v>513</v>
      </c>
      <c r="G6" s="12" t="s">
        <v>514</v>
      </c>
    </row>
    <row r="7" customFormat="false" ht="57" hidden="false" customHeight="true" outlineLevel="0" collapsed="false">
      <c r="A7" s="5" t="s">
        <v>515</v>
      </c>
      <c r="B7" s="5" t="s">
        <v>516</v>
      </c>
      <c r="C7" s="5" t="s">
        <v>517</v>
      </c>
      <c r="D7" s="5" t="s">
        <v>518</v>
      </c>
      <c r="E7" s="5" t="s">
        <v>519</v>
      </c>
      <c r="F7" s="5" t="s">
        <v>520</v>
      </c>
      <c r="G7" s="5" t="s">
        <v>521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2"/>
    <col collapsed="false" customWidth="true" hidden="false" outlineLevel="0" max="3" min="3" style="1" width="26"/>
  </cols>
  <sheetData>
    <row r="1" customFormat="false" ht="27.75" hidden="false" customHeight="true" outlineLevel="0" collapsed="false">
      <c r="A1" s="2" t="s">
        <v>522</v>
      </c>
      <c r="B1" s="2"/>
      <c r="C1" s="2"/>
    </row>
    <row r="2" customFormat="false" ht="25.5" hidden="false" customHeight="true" outlineLevel="0" collapsed="false">
      <c r="A2" s="3" t="s">
        <v>523</v>
      </c>
      <c r="B2" s="3"/>
      <c r="C2" s="3"/>
    </row>
    <row r="4" customFormat="false" ht="30" hidden="false" customHeight="true" outlineLevel="0" collapsed="false">
      <c r="A4" s="9" t="s">
        <v>524</v>
      </c>
      <c r="B4" s="9" t="s">
        <v>525</v>
      </c>
      <c r="C4" s="9" t="s">
        <v>526</v>
      </c>
    </row>
    <row r="5" customFormat="false" ht="23.25" hidden="false" customHeight="true" outlineLevel="0" collapsed="false">
      <c r="A5" s="5" t="s">
        <v>527</v>
      </c>
      <c r="B5" s="5" t="s">
        <v>528</v>
      </c>
      <c r="C5" s="5" t="s">
        <v>529</v>
      </c>
    </row>
    <row r="6" customFormat="false" ht="23.25" hidden="false" customHeight="true" outlineLevel="0" collapsed="false">
      <c r="A6" s="5" t="s">
        <v>530</v>
      </c>
      <c r="B6" s="5" t="s">
        <v>531</v>
      </c>
      <c r="C6" s="5" t="s">
        <v>532</v>
      </c>
    </row>
    <row r="7" customFormat="false" ht="23.25" hidden="false" customHeight="true" outlineLevel="0" collapsed="false">
      <c r="A7" s="5" t="s">
        <v>533</v>
      </c>
      <c r="B7" s="5" t="s">
        <v>534</v>
      </c>
      <c r="C7" s="5" t="s">
        <v>535</v>
      </c>
    </row>
    <row r="8" customFormat="false" ht="23.25" hidden="false" customHeight="true" outlineLevel="0" collapsed="false">
      <c r="A8" s="5" t="s">
        <v>536</v>
      </c>
      <c r="B8" s="5" t="s">
        <v>537</v>
      </c>
      <c r="C8" s="5" t="s">
        <v>538</v>
      </c>
    </row>
    <row r="9" customFormat="false" ht="23.25" hidden="false" customHeight="true" outlineLevel="0" collapsed="false">
      <c r="A9" s="5" t="s">
        <v>539</v>
      </c>
      <c r="B9" s="5" t="s">
        <v>540</v>
      </c>
      <c r="C9" s="5" t="s">
        <v>541</v>
      </c>
    </row>
    <row r="10" customFormat="false" ht="23.25" hidden="false" customHeight="true" outlineLevel="0" collapsed="false">
      <c r="A10" s="5" t="s">
        <v>542</v>
      </c>
      <c r="B10" s="5" t="s">
        <v>543</v>
      </c>
      <c r="C10" s="5" t="s">
        <v>544</v>
      </c>
    </row>
    <row r="11" customFormat="false" ht="23.25" hidden="false" customHeight="true" outlineLevel="0" collapsed="false">
      <c r="A11" s="5" t="s">
        <v>545</v>
      </c>
      <c r="B11" s="5" t="s">
        <v>546</v>
      </c>
      <c r="C11" s="5" t="s">
        <v>547</v>
      </c>
    </row>
    <row r="12" customFormat="false" ht="23.25" hidden="false" customHeight="true" outlineLevel="0" collapsed="false">
      <c r="A12" s="5" t="s">
        <v>548</v>
      </c>
      <c r="B12" s="5" t="s">
        <v>549</v>
      </c>
      <c r="C12" s="5" t="s">
        <v>550</v>
      </c>
    </row>
    <row r="13" customFormat="false" ht="23.25" hidden="false" customHeight="true" outlineLevel="0" collapsed="false">
      <c r="A13" s="5" t="s">
        <v>551</v>
      </c>
      <c r="B13" s="5" t="s">
        <v>552</v>
      </c>
      <c r="C13" s="5" t="s">
        <v>553</v>
      </c>
    </row>
    <row r="14" customFormat="false" ht="23.25" hidden="false" customHeight="true" outlineLevel="0" collapsed="false">
      <c r="A14" s="5" t="s">
        <v>554</v>
      </c>
      <c r="B14" s="5" t="s">
        <v>555</v>
      </c>
      <c r="C14" s="5" t="s">
        <v>556</v>
      </c>
    </row>
    <row r="15" customFormat="false" ht="23.25" hidden="false" customHeight="true" outlineLevel="0" collapsed="false">
      <c r="A15" s="5" t="s">
        <v>557</v>
      </c>
      <c r="B15" s="5" t="s">
        <v>558</v>
      </c>
      <c r="C15" s="5" t="s">
        <v>559</v>
      </c>
    </row>
    <row r="16" customFormat="false" ht="23.25" hidden="false" customHeight="true" outlineLevel="0" collapsed="false">
      <c r="A16" s="5" t="s">
        <v>560</v>
      </c>
      <c r="B16" s="5" t="s">
        <v>561</v>
      </c>
      <c r="C16" s="5" t="s">
        <v>562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H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25" t="s">
        <v>563</v>
      </c>
      <c r="B1" s="25"/>
      <c r="C1" s="25"/>
      <c r="D1" s="25"/>
      <c r="E1" s="25"/>
      <c r="F1" s="25"/>
      <c r="G1" s="25"/>
      <c r="H1" s="25"/>
    </row>
    <row r="2" customFormat="false" ht="27.75" hidden="false" customHeight="true" outlineLevel="0" collapsed="false">
      <c r="A2" s="22" t="s">
        <v>564</v>
      </c>
      <c r="B2" s="22"/>
      <c r="C2" s="22"/>
      <c r="D2" s="22"/>
      <c r="E2" s="22"/>
      <c r="F2" s="22"/>
      <c r="G2" s="22"/>
      <c r="H2" s="22"/>
    </row>
    <row r="4" customFormat="false" ht="15" hidden="false" customHeight="false" outlineLevel="0" collapsed="false">
      <c r="A4" s="26" t="s">
        <v>565</v>
      </c>
      <c r="B4" s="26" t="s">
        <v>566</v>
      </c>
      <c r="C4" s="26" t="s">
        <v>567</v>
      </c>
      <c r="D4" s="26" t="s">
        <v>568</v>
      </c>
      <c r="E4" s="26" t="s">
        <v>30</v>
      </c>
      <c r="F4" s="26" t="s">
        <v>569</v>
      </c>
      <c r="G4" s="26" t="s">
        <v>570</v>
      </c>
      <c r="H4" s="26" t="s">
        <v>571</v>
      </c>
    </row>
    <row r="5" customFormat="false" ht="15" hidden="false" customHeight="false" outlineLevel="0" collapsed="false">
      <c r="A5" s="27" t="s">
        <v>572</v>
      </c>
      <c r="B5" s="27"/>
      <c r="C5" s="27"/>
      <c r="D5" s="27"/>
      <c r="E5" s="27"/>
      <c r="F5" s="27"/>
      <c r="G5" s="27"/>
      <c r="H5" s="27"/>
    </row>
    <row r="6" customFormat="false" ht="19.4" hidden="false" customHeight="false" outlineLevel="0" collapsed="false">
      <c r="A6" s="28" t="s">
        <v>573</v>
      </c>
      <c r="B6" s="15" t="s">
        <v>574</v>
      </c>
      <c r="C6" s="15" t="s">
        <v>575</v>
      </c>
      <c r="D6" s="29" t="n">
        <v>550</v>
      </c>
      <c r="E6" s="29" t="s">
        <v>39</v>
      </c>
      <c r="F6" s="30" t="n">
        <v>71.21</v>
      </c>
      <c r="G6" s="31" t="n">
        <f aca="false">D6*F6</f>
        <v>39165.5</v>
      </c>
      <c r="H6" s="32" t="s">
        <v>576</v>
      </c>
    </row>
    <row r="7" customFormat="false" ht="19.4" hidden="false" customHeight="false" outlineLevel="0" collapsed="false">
      <c r="A7" s="28" t="s">
        <v>573</v>
      </c>
      <c r="B7" s="15" t="s">
        <v>577</v>
      </c>
      <c r="C7" s="15" t="s">
        <v>575</v>
      </c>
      <c r="D7" s="29" t="n">
        <v>570</v>
      </c>
      <c r="E7" s="29" t="s">
        <v>39</v>
      </c>
      <c r="F7" s="30" t="n">
        <v>234.06</v>
      </c>
      <c r="G7" s="31" t="n">
        <f aca="false">D7*F7</f>
        <v>133414.2</v>
      </c>
      <c r="H7" s="32" t="s">
        <v>576</v>
      </c>
    </row>
    <row r="8" customFormat="false" ht="19.4" hidden="false" customHeight="false" outlineLevel="0" collapsed="false">
      <c r="A8" s="28" t="s">
        <v>573</v>
      </c>
      <c r="B8" s="15" t="s">
        <v>578</v>
      </c>
      <c r="C8" s="15" t="s">
        <v>575</v>
      </c>
      <c r="D8" s="29" t="n">
        <v>2350</v>
      </c>
      <c r="E8" s="29" t="s">
        <v>55</v>
      </c>
      <c r="F8" s="30" t="n">
        <v>109.21</v>
      </c>
      <c r="G8" s="31" t="n">
        <f aca="false">D8*F8</f>
        <v>256643.5</v>
      </c>
      <c r="H8" s="32" t="s">
        <v>576</v>
      </c>
    </row>
    <row r="9" customFormat="false" ht="19.4" hidden="false" customHeight="false" outlineLevel="0" collapsed="false">
      <c r="A9" s="28" t="s">
        <v>573</v>
      </c>
      <c r="B9" s="15" t="s">
        <v>579</v>
      </c>
      <c r="C9" s="15" t="s">
        <v>575</v>
      </c>
      <c r="D9" s="29" t="n">
        <v>500</v>
      </c>
      <c r="E9" s="29" t="s">
        <v>55</v>
      </c>
      <c r="F9" s="30" t="n">
        <v>146.7</v>
      </c>
      <c r="G9" s="31" t="n">
        <f aca="false">D9*F9</f>
        <v>73350</v>
      </c>
      <c r="H9" s="32" t="s">
        <v>576</v>
      </c>
    </row>
    <row r="10" customFormat="false" ht="19.4" hidden="false" customHeight="false" outlineLevel="0" collapsed="false">
      <c r="A10" s="28" t="s">
        <v>573</v>
      </c>
      <c r="B10" s="15" t="s">
        <v>580</v>
      </c>
      <c r="C10" s="15" t="s">
        <v>575</v>
      </c>
      <c r="D10" s="29" t="n">
        <v>190</v>
      </c>
      <c r="E10" s="29" t="s">
        <v>55</v>
      </c>
      <c r="F10" s="30" t="n">
        <v>83.07</v>
      </c>
      <c r="G10" s="31" t="n">
        <f aca="false">D10*F10</f>
        <v>15783.3</v>
      </c>
      <c r="H10" s="32" t="s">
        <v>576</v>
      </c>
    </row>
    <row r="11" customFormat="false" ht="19.4" hidden="false" customHeight="false" outlineLevel="0" collapsed="false">
      <c r="A11" s="28" t="s">
        <v>573</v>
      </c>
      <c r="B11" s="15" t="s">
        <v>581</v>
      </c>
      <c r="C11" s="15" t="s">
        <v>575</v>
      </c>
      <c r="D11" s="29" t="n">
        <v>30</v>
      </c>
      <c r="E11" s="29" t="s">
        <v>55</v>
      </c>
      <c r="F11" s="30" t="n">
        <v>281.6</v>
      </c>
      <c r="G11" s="31" t="n">
        <f aca="false">D11*F11</f>
        <v>8448</v>
      </c>
      <c r="H11" s="32" t="s">
        <v>576</v>
      </c>
    </row>
    <row r="12" customFormat="false" ht="19.4" hidden="false" customHeight="false" outlineLevel="0" collapsed="false">
      <c r="A12" s="28" t="s">
        <v>573</v>
      </c>
      <c r="B12" s="15" t="s">
        <v>582</v>
      </c>
      <c r="C12" s="15" t="s">
        <v>575</v>
      </c>
      <c r="D12" s="29" t="n">
        <v>30</v>
      </c>
      <c r="E12" s="29" t="s">
        <v>55</v>
      </c>
      <c r="F12" s="30" t="n">
        <v>98.17</v>
      </c>
      <c r="G12" s="31" t="n">
        <f aca="false">D12*F12</f>
        <v>2945.1</v>
      </c>
      <c r="H12" s="32" t="s">
        <v>576</v>
      </c>
    </row>
    <row r="13" customFormat="false" ht="19.4" hidden="false" customHeight="false" outlineLevel="0" collapsed="false">
      <c r="A13" s="28" t="s">
        <v>573</v>
      </c>
      <c r="B13" s="15" t="s">
        <v>583</v>
      </c>
      <c r="C13" s="15" t="s">
        <v>575</v>
      </c>
      <c r="D13" s="29" t="n">
        <v>2</v>
      </c>
      <c r="E13" s="29" t="s">
        <v>55</v>
      </c>
      <c r="F13" s="30" t="n">
        <v>264.96</v>
      </c>
      <c r="G13" s="31" t="n">
        <f aca="false">D13*F13</f>
        <v>529.92</v>
      </c>
      <c r="H13" s="32" t="s">
        <v>576</v>
      </c>
    </row>
    <row r="14" customFormat="false" ht="19.4" hidden="false" customHeight="false" outlineLevel="0" collapsed="false">
      <c r="A14" s="28" t="s">
        <v>573</v>
      </c>
      <c r="B14" s="15" t="s">
        <v>584</v>
      </c>
      <c r="C14" s="15" t="s">
        <v>585</v>
      </c>
      <c r="D14" s="29" t="n">
        <v>72</v>
      </c>
      <c r="E14" s="29" t="s">
        <v>39</v>
      </c>
      <c r="F14" s="30" t="n">
        <v>297.44</v>
      </c>
      <c r="G14" s="31" t="n">
        <f aca="false">D14*F14</f>
        <v>21415.68</v>
      </c>
      <c r="H14" s="32" t="s">
        <v>576</v>
      </c>
    </row>
    <row r="15" customFormat="false" ht="19.4" hidden="false" customHeight="false" outlineLevel="0" collapsed="false">
      <c r="A15" s="28" t="s">
        <v>573</v>
      </c>
      <c r="B15" s="15" t="s">
        <v>586</v>
      </c>
      <c r="C15" s="15" t="s">
        <v>587</v>
      </c>
      <c r="D15" s="29" t="n">
        <v>70</v>
      </c>
      <c r="E15" s="29" t="s">
        <v>39</v>
      </c>
      <c r="F15" s="30" t="n">
        <v>287.87</v>
      </c>
      <c r="G15" s="31" t="n">
        <f aca="false">D15*F15</f>
        <v>20150.9</v>
      </c>
      <c r="H15" s="32" t="s">
        <v>576</v>
      </c>
    </row>
    <row r="16" customFormat="false" ht="19.4" hidden="false" customHeight="false" outlineLevel="0" collapsed="false">
      <c r="A16" s="28" t="s">
        <v>573</v>
      </c>
      <c r="B16" s="15" t="s">
        <v>588</v>
      </c>
      <c r="C16" s="15" t="s">
        <v>585</v>
      </c>
      <c r="D16" s="29" t="n">
        <v>62</v>
      </c>
      <c r="E16" s="29" t="s">
        <v>39</v>
      </c>
      <c r="F16" s="30" t="n">
        <v>153.88</v>
      </c>
      <c r="G16" s="31" t="n">
        <f aca="false">D16*F16</f>
        <v>9540.56</v>
      </c>
      <c r="H16" s="32" t="s">
        <v>576</v>
      </c>
    </row>
    <row r="17" customFormat="false" ht="19.4" hidden="false" customHeight="false" outlineLevel="0" collapsed="false">
      <c r="A17" s="28" t="s">
        <v>573</v>
      </c>
      <c r="B17" s="15" t="s">
        <v>589</v>
      </c>
      <c r="C17" s="15" t="s">
        <v>587</v>
      </c>
      <c r="D17" s="29" t="n">
        <v>55</v>
      </c>
      <c r="E17" s="29" t="s">
        <v>39</v>
      </c>
      <c r="F17" s="30" t="n">
        <v>157.5</v>
      </c>
      <c r="G17" s="31" t="n">
        <f aca="false">D17*F17</f>
        <v>8662.5</v>
      </c>
      <c r="H17" s="32" t="s">
        <v>576</v>
      </c>
    </row>
    <row r="18" customFormat="false" ht="19.4" hidden="false" customHeight="false" outlineLevel="0" collapsed="false">
      <c r="A18" s="28" t="s">
        <v>573</v>
      </c>
      <c r="B18" s="15" t="s">
        <v>590</v>
      </c>
      <c r="C18" s="15" t="s">
        <v>591</v>
      </c>
      <c r="D18" s="29" t="n">
        <v>350</v>
      </c>
      <c r="E18" s="29" t="s">
        <v>39</v>
      </c>
      <c r="F18" s="30" t="n">
        <v>242.8</v>
      </c>
      <c r="G18" s="31" t="n">
        <f aca="false">D18*F18</f>
        <v>84980</v>
      </c>
      <c r="H18" s="32" t="s">
        <v>576</v>
      </c>
    </row>
    <row r="19" customFormat="false" ht="19.4" hidden="false" customHeight="false" outlineLevel="0" collapsed="false">
      <c r="A19" s="28" t="s">
        <v>573</v>
      </c>
      <c r="B19" s="15" t="s">
        <v>592</v>
      </c>
      <c r="C19" s="15" t="s">
        <v>591</v>
      </c>
      <c r="D19" s="29" t="n">
        <v>30</v>
      </c>
      <c r="E19" s="29" t="s">
        <v>39</v>
      </c>
      <c r="F19" s="30" t="n">
        <v>56.84</v>
      </c>
      <c r="G19" s="31" t="n">
        <f aca="false">D19*F19</f>
        <v>1705.2</v>
      </c>
      <c r="H19" s="32" t="s">
        <v>576</v>
      </c>
    </row>
    <row r="20" customFormat="false" ht="19.4" hidden="false" customHeight="false" outlineLevel="0" collapsed="false">
      <c r="A20" s="28" t="s">
        <v>573</v>
      </c>
      <c r="B20" s="15" t="s">
        <v>593</v>
      </c>
      <c r="C20" s="15" t="s">
        <v>591</v>
      </c>
      <c r="D20" s="29" t="n">
        <v>30</v>
      </c>
      <c r="E20" s="29" t="s">
        <v>39</v>
      </c>
      <c r="F20" s="30" t="n">
        <v>38.64</v>
      </c>
      <c r="G20" s="31" t="n">
        <f aca="false">D20*F20</f>
        <v>1159.2</v>
      </c>
      <c r="H20" s="32" t="s">
        <v>576</v>
      </c>
    </row>
    <row r="21" customFormat="false" ht="19.4" hidden="false" customHeight="false" outlineLevel="0" collapsed="false">
      <c r="A21" s="28" t="s">
        <v>573</v>
      </c>
      <c r="B21" s="15" t="s">
        <v>594</v>
      </c>
      <c r="C21" s="15" t="s">
        <v>595</v>
      </c>
      <c r="D21" s="29" t="n">
        <v>25</v>
      </c>
      <c r="E21" s="29" t="s">
        <v>55</v>
      </c>
      <c r="F21" s="30" t="n">
        <v>31.5</v>
      </c>
      <c r="G21" s="31" t="n">
        <f aca="false">D21*F21</f>
        <v>787.5</v>
      </c>
      <c r="H21" s="32" t="s">
        <v>576</v>
      </c>
    </row>
    <row r="22" customFormat="false" ht="19.4" hidden="false" customHeight="false" outlineLevel="0" collapsed="false">
      <c r="A22" s="28" t="s">
        <v>573</v>
      </c>
      <c r="B22" s="15" t="s">
        <v>596</v>
      </c>
      <c r="C22" s="15" t="s">
        <v>575</v>
      </c>
      <c r="D22" s="29" t="n">
        <v>135</v>
      </c>
      <c r="E22" s="29" t="s">
        <v>55</v>
      </c>
      <c r="F22" s="30" t="n">
        <v>278.83</v>
      </c>
      <c r="G22" s="31" t="n">
        <f aca="false">D22*F22</f>
        <v>37642.05</v>
      </c>
      <c r="H22" s="32" t="s">
        <v>576</v>
      </c>
    </row>
    <row r="23" customFormat="false" ht="19.4" hidden="false" customHeight="false" outlineLevel="0" collapsed="false">
      <c r="A23" s="28" t="s">
        <v>573</v>
      </c>
      <c r="B23" s="15" t="s">
        <v>583</v>
      </c>
      <c r="C23" s="15" t="s">
        <v>575</v>
      </c>
      <c r="D23" s="29" t="n">
        <v>2</v>
      </c>
      <c r="E23" s="29" t="s">
        <v>55</v>
      </c>
      <c r="F23" s="30" t="n">
        <v>264.96</v>
      </c>
      <c r="G23" s="31" t="n">
        <f aca="false">D23*F23</f>
        <v>529.92</v>
      </c>
      <c r="H23" s="32" t="s">
        <v>576</v>
      </c>
    </row>
    <row r="24" customFormat="false" ht="23.85" hidden="false" customHeight="false" outlineLevel="0" collapsed="false">
      <c r="A24" s="28" t="s">
        <v>573</v>
      </c>
      <c r="B24" s="15" t="s">
        <v>597</v>
      </c>
      <c r="C24" s="15" t="s">
        <v>575</v>
      </c>
      <c r="D24" s="29" t="n">
        <v>5</v>
      </c>
      <c r="E24" s="29" t="s">
        <v>55</v>
      </c>
      <c r="F24" s="30" t="n">
        <v>206.22</v>
      </c>
      <c r="G24" s="31" t="n">
        <f aca="false">D24*F24</f>
        <v>1031.1</v>
      </c>
      <c r="H24" s="32" t="s">
        <v>576</v>
      </c>
    </row>
    <row r="25" customFormat="false" ht="23.85" hidden="false" customHeight="false" outlineLevel="0" collapsed="false">
      <c r="A25" s="28" t="s">
        <v>573</v>
      </c>
      <c r="B25" s="15" t="s">
        <v>598</v>
      </c>
      <c r="C25" s="15" t="s">
        <v>599</v>
      </c>
      <c r="D25" s="29" t="n">
        <v>2</v>
      </c>
      <c r="E25" s="29" t="s">
        <v>55</v>
      </c>
      <c r="F25" s="30" t="n">
        <v>562.87</v>
      </c>
      <c r="G25" s="31" t="n">
        <f aca="false">D25*F25</f>
        <v>1125.74</v>
      </c>
      <c r="H25" s="32" t="s">
        <v>576</v>
      </c>
    </row>
    <row r="26" customFormat="false" ht="15" hidden="false" customHeight="false" outlineLevel="0" collapsed="false">
      <c r="A26" s="27" t="s">
        <v>600</v>
      </c>
      <c r="B26" s="27"/>
      <c r="C26" s="27"/>
      <c r="D26" s="27"/>
      <c r="E26" s="27"/>
      <c r="F26" s="27"/>
      <c r="G26" s="27"/>
      <c r="H26" s="27"/>
    </row>
    <row r="27" customFormat="false" ht="23.85" hidden="false" customHeight="false" outlineLevel="0" collapsed="false">
      <c r="A27" s="28" t="s">
        <v>601</v>
      </c>
      <c r="B27" s="15" t="s">
        <v>602</v>
      </c>
      <c r="C27" s="15" t="s">
        <v>603</v>
      </c>
      <c r="D27" s="29" t="n">
        <v>1</v>
      </c>
      <c r="E27" s="29" t="s">
        <v>55</v>
      </c>
      <c r="F27" s="30" t="n">
        <v>15580.06</v>
      </c>
      <c r="G27" s="31" t="n">
        <f aca="false">D27*F27</f>
        <v>15580.06</v>
      </c>
      <c r="H27" s="32" t="s">
        <v>604</v>
      </c>
    </row>
    <row r="28" customFormat="false" ht="23.85" hidden="false" customHeight="false" outlineLevel="0" collapsed="false">
      <c r="A28" s="28" t="s">
        <v>601</v>
      </c>
      <c r="B28" s="15" t="s">
        <v>605</v>
      </c>
      <c r="C28" s="15" t="s">
        <v>603</v>
      </c>
      <c r="D28" s="29" t="n">
        <v>1</v>
      </c>
      <c r="E28" s="29" t="s">
        <v>55</v>
      </c>
      <c r="F28" s="30" t="n">
        <v>15691.85</v>
      </c>
      <c r="G28" s="31" t="n">
        <f aca="false">D28*F28</f>
        <v>15691.85</v>
      </c>
      <c r="H28" s="32" t="s">
        <v>604</v>
      </c>
    </row>
    <row r="29" customFormat="false" ht="23.85" hidden="false" customHeight="false" outlineLevel="0" collapsed="false">
      <c r="A29" s="28" t="s">
        <v>601</v>
      </c>
      <c r="B29" s="15" t="s">
        <v>606</v>
      </c>
      <c r="C29" s="15" t="s">
        <v>424</v>
      </c>
      <c r="D29" s="29" t="n">
        <v>6</v>
      </c>
      <c r="E29" s="29" t="s">
        <v>55</v>
      </c>
      <c r="F29" s="30" t="n">
        <v>5721.42</v>
      </c>
      <c r="G29" s="31" t="n">
        <f aca="false">D29*F29</f>
        <v>34328.52</v>
      </c>
      <c r="H29" s="32" t="s">
        <v>604</v>
      </c>
    </row>
    <row r="30" customFormat="false" ht="23.85" hidden="false" customHeight="false" outlineLevel="0" collapsed="false">
      <c r="A30" s="28" t="s">
        <v>601</v>
      </c>
      <c r="B30" s="15" t="s">
        <v>607</v>
      </c>
      <c r="C30" s="15" t="s">
        <v>424</v>
      </c>
      <c r="D30" s="29" t="n">
        <v>8</v>
      </c>
      <c r="E30" s="29" t="s">
        <v>55</v>
      </c>
      <c r="F30" s="30" t="n">
        <v>5397.35</v>
      </c>
      <c r="G30" s="31" t="n">
        <f aca="false">D30*F30</f>
        <v>43178.8</v>
      </c>
      <c r="H30" s="32" t="s">
        <v>604</v>
      </c>
    </row>
    <row r="31" customFormat="false" ht="19.4" hidden="false" customHeight="false" outlineLevel="0" collapsed="false">
      <c r="A31" s="28" t="s">
        <v>601</v>
      </c>
      <c r="B31" s="15" t="s">
        <v>608</v>
      </c>
      <c r="C31" s="15" t="s">
        <v>424</v>
      </c>
      <c r="D31" s="29" t="n">
        <v>7</v>
      </c>
      <c r="E31" s="29" t="s">
        <v>55</v>
      </c>
      <c r="F31" s="30" t="n">
        <v>11368.44</v>
      </c>
      <c r="G31" s="31" t="n">
        <f aca="false">D31*F31</f>
        <v>79579.08</v>
      </c>
      <c r="H31" s="32" t="s">
        <v>604</v>
      </c>
    </row>
    <row r="32" customFormat="false" ht="23.85" hidden="false" customHeight="false" outlineLevel="0" collapsed="false">
      <c r="A32" s="28" t="s">
        <v>601</v>
      </c>
      <c r="B32" s="15" t="s">
        <v>609</v>
      </c>
      <c r="C32" s="15" t="s">
        <v>575</v>
      </c>
      <c r="D32" s="29" t="n">
        <v>21</v>
      </c>
      <c r="E32" s="29" t="s">
        <v>55</v>
      </c>
      <c r="F32" s="30" t="n">
        <v>113.56</v>
      </c>
      <c r="G32" s="31" t="n">
        <f aca="false">D32*F32</f>
        <v>2384.76</v>
      </c>
      <c r="H32" s="32" t="s">
        <v>604</v>
      </c>
    </row>
    <row r="33" customFormat="false" ht="19.4" hidden="false" customHeight="false" outlineLevel="0" collapsed="false">
      <c r="A33" s="28" t="s">
        <v>601</v>
      </c>
      <c r="B33" s="15" t="s">
        <v>610</v>
      </c>
      <c r="C33" s="15" t="s">
        <v>575</v>
      </c>
      <c r="D33" s="29" t="n">
        <v>3</v>
      </c>
      <c r="E33" s="29" t="s">
        <v>39</v>
      </c>
      <c r="F33" s="30" t="n">
        <v>1198.66</v>
      </c>
      <c r="G33" s="31" t="n">
        <f aca="false">D33*F33</f>
        <v>3595.98</v>
      </c>
      <c r="H33" s="32" t="s">
        <v>604</v>
      </c>
    </row>
    <row r="34" customFormat="false" ht="23.85" hidden="false" customHeight="false" outlineLevel="0" collapsed="false">
      <c r="A34" s="28" t="s">
        <v>601</v>
      </c>
      <c r="B34" s="15" t="s">
        <v>611</v>
      </c>
      <c r="C34" s="15" t="s">
        <v>612</v>
      </c>
      <c r="D34" s="29" t="n">
        <v>20</v>
      </c>
      <c r="E34" s="29" t="s">
        <v>55</v>
      </c>
      <c r="F34" s="30" t="n">
        <v>239.49</v>
      </c>
      <c r="G34" s="31" t="n">
        <f aca="false">D34*F34</f>
        <v>4789.8</v>
      </c>
      <c r="H34" s="32" t="s">
        <v>604</v>
      </c>
    </row>
    <row r="35" customFormat="false" ht="23.85" hidden="false" customHeight="false" outlineLevel="0" collapsed="false">
      <c r="A35" s="28" t="s">
        <v>601</v>
      </c>
      <c r="B35" s="15" t="s">
        <v>613</v>
      </c>
      <c r="C35" s="15" t="s">
        <v>612</v>
      </c>
      <c r="D35" s="29" t="n">
        <v>21</v>
      </c>
      <c r="E35" s="29" t="s">
        <v>55</v>
      </c>
      <c r="F35" s="30" t="n">
        <v>237.84</v>
      </c>
      <c r="G35" s="31" t="n">
        <f aca="false">D35*F35</f>
        <v>4994.64</v>
      </c>
      <c r="H35" s="32" t="s">
        <v>604</v>
      </c>
    </row>
    <row r="36" customFormat="false" ht="23.85" hidden="false" customHeight="false" outlineLevel="0" collapsed="false">
      <c r="A36" s="28" t="s">
        <v>601</v>
      </c>
      <c r="B36" s="15" t="s">
        <v>614</v>
      </c>
      <c r="C36" s="15" t="s">
        <v>615</v>
      </c>
      <c r="D36" s="29" t="n">
        <v>60</v>
      </c>
      <c r="E36" s="29" t="s">
        <v>39</v>
      </c>
      <c r="F36" s="30" t="n">
        <v>41.27</v>
      </c>
      <c r="G36" s="31" t="n">
        <f aca="false">D36*F36</f>
        <v>2476.2</v>
      </c>
      <c r="H36" s="32" t="s">
        <v>604</v>
      </c>
    </row>
    <row r="37" customFormat="false" ht="23.85" hidden="false" customHeight="false" outlineLevel="0" collapsed="false">
      <c r="A37" s="28" t="s">
        <v>601</v>
      </c>
      <c r="B37" s="15" t="s">
        <v>616</v>
      </c>
      <c r="C37" s="15" t="s">
        <v>617</v>
      </c>
      <c r="D37" s="29" t="n">
        <v>60</v>
      </c>
      <c r="E37" s="29" t="s">
        <v>39</v>
      </c>
      <c r="F37" s="30" t="n">
        <v>37.88</v>
      </c>
      <c r="G37" s="31" t="n">
        <f aca="false">D37*F37</f>
        <v>2272.8</v>
      </c>
      <c r="H37" s="32" t="s">
        <v>604</v>
      </c>
    </row>
    <row r="38" customFormat="false" ht="19.4" hidden="false" customHeight="false" outlineLevel="0" collapsed="false">
      <c r="A38" s="28" t="s">
        <v>601</v>
      </c>
      <c r="B38" s="15" t="s">
        <v>618</v>
      </c>
      <c r="C38" s="15" t="s">
        <v>619</v>
      </c>
      <c r="D38" s="29" t="n">
        <v>205</v>
      </c>
      <c r="E38" s="29" t="s">
        <v>39</v>
      </c>
      <c r="F38" s="30" t="n">
        <v>57.33</v>
      </c>
      <c r="G38" s="31" t="n">
        <f aca="false">D38*F38</f>
        <v>11752.65</v>
      </c>
      <c r="H38" s="32" t="s">
        <v>604</v>
      </c>
    </row>
    <row r="39" customFormat="false" ht="23.85" hidden="false" customHeight="false" outlineLevel="0" collapsed="false">
      <c r="A39" s="28" t="s">
        <v>601</v>
      </c>
      <c r="B39" s="15" t="s">
        <v>620</v>
      </c>
      <c r="C39" s="15" t="s">
        <v>621</v>
      </c>
      <c r="D39" s="29" t="n">
        <v>205</v>
      </c>
      <c r="E39" s="29" t="s">
        <v>39</v>
      </c>
      <c r="F39" s="30" t="n">
        <v>56.66</v>
      </c>
      <c r="G39" s="31" t="n">
        <f aca="false">D39*F39</f>
        <v>11615.3</v>
      </c>
      <c r="H39" s="32" t="s">
        <v>604</v>
      </c>
    </row>
    <row r="40" customFormat="false" ht="23.85" hidden="false" customHeight="false" outlineLevel="0" collapsed="false">
      <c r="A40" s="28" t="s">
        <v>601</v>
      </c>
      <c r="B40" s="15" t="s">
        <v>622</v>
      </c>
      <c r="C40" s="15" t="s">
        <v>615</v>
      </c>
      <c r="D40" s="29" t="n">
        <v>25</v>
      </c>
      <c r="E40" s="29" t="s">
        <v>39</v>
      </c>
      <c r="F40" s="30" t="n">
        <v>87.57</v>
      </c>
      <c r="G40" s="31" t="n">
        <f aca="false">D40*F40</f>
        <v>2189.25</v>
      </c>
      <c r="H40" s="32" t="s">
        <v>604</v>
      </c>
    </row>
    <row r="41" customFormat="false" ht="19.4" hidden="false" customHeight="false" outlineLevel="0" collapsed="false">
      <c r="A41" s="28" t="s">
        <v>601</v>
      </c>
      <c r="B41" s="15" t="s">
        <v>623</v>
      </c>
      <c r="C41" s="15" t="s">
        <v>619</v>
      </c>
      <c r="D41" s="29" t="n">
        <v>25</v>
      </c>
      <c r="E41" s="29" t="s">
        <v>39</v>
      </c>
      <c r="F41" s="30" t="n">
        <v>87.57</v>
      </c>
      <c r="G41" s="31" t="n">
        <f aca="false">D41*F41</f>
        <v>2189.25</v>
      </c>
      <c r="H41" s="32" t="s">
        <v>604</v>
      </c>
    </row>
    <row r="42" customFormat="false" ht="19.4" hidden="false" customHeight="false" outlineLevel="0" collapsed="false">
      <c r="A42" s="28" t="s">
        <v>601</v>
      </c>
      <c r="B42" s="15" t="s">
        <v>624</v>
      </c>
      <c r="C42" s="15" t="s">
        <v>617</v>
      </c>
      <c r="D42" s="29" t="n">
        <v>25</v>
      </c>
      <c r="E42" s="29" t="s">
        <v>39</v>
      </c>
      <c r="F42" s="30" t="n">
        <v>87.79</v>
      </c>
      <c r="G42" s="31" t="n">
        <f aca="false">D42*F42</f>
        <v>2194.75</v>
      </c>
      <c r="H42" s="32" t="s">
        <v>604</v>
      </c>
    </row>
    <row r="43" customFormat="false" ht="19.4" hidden="false" customHeight="false" outlineLevel="0" collapsed="false">
      <c r="A43" s="28" t="s">
        <v>601</v>
      </c>
      <c r="B43" s="15" t="s">
        <v>625</v>
      </c>
      <c r="C43" s="15" t="s">
        <v>617</v>
      </c>
      <c r="D43" s="29" t="n">
        <v>20</v>
      </c>
      <c r="E43" s="29" t="s">
        <v>39</v>
      </c>
      <c r="F43" s="30" t="n">
        <v>222.86</v>
      </c>
      <c r="G43" s="31" t="n">
        <f aca="false">D43*F43</f>
        <v>4457.2</v>
      </c>
      <c r="H43" s="32" t="s">
        <v>604</v>
      </c>
    </row>
    <row r="44" customFormat="false" ht="23.85" hidden="false" customHeight="false" outlineLevel="0" collapsed="false">
      <c r="A44" s="28" t="s">
        <v>601</v>
      </c>
      <c r="B44" s="15" t="s">
        <v>626</v>
      </c>
      <c r="C44" s="15" t="s">
        <v>575</v>
      </c>
      <c r="D44" s="29" t="n">
        <v>50</v>
      </c>
      <c r="E44" s="29" t="s">
        <v>39</v>
      </c>
      <c r="F44" s="30" t="n">
        <v>17.54</v>
      </c>
      <c r="G44" s="31" t="n">
        <f aca="false">D44*F44</f>
        <v>877</v>
      </c>
      <c r="H44" s="32" t="s">
        <v>604</v>
      </c>
    </row>
    <row r="45" customFormat="false" ht="19.4" hidden="false" customHeight="false" outlineLevel="0" collapsed="false">
      <c r="A45" s="28" t="s">
        <v>601</v>
      </c>
      <c r="B45" s="15" t="s">
        <v>627</v>
      </c>
      <c r="C45" s="15" t="s">
        <v>575</v>
      </c>
      <c r="D45" s="29" t="n">
        <v>180</v>
      </c>
      <c r="E45" s="29" t="s">
        <v>39</v>
      </c>
      <c r="F45" s="30" t="n">
        <v>30.8</v>
      </c>
      <c r="G45" s="31" t="n">
        <f aca="false">D45*F45</f>
        <v>5544</v>
      </c>
      <c r="H45" s="32" t="s">
        <v>604</v>
      </c>
    </row>
    <row r="46" customFormat="false" ht="23.85" hidden="false" customHeight="false" outlineLevel="0" collapsed="false">
      <c r="A46" s="28" t="s">
        <v>601</v>
      </c>
      <c r="B46" s="15" t="s">
        <v>628</v>
      </c>
      <c r="C46" s="15" t="s">
        <v>575</v>
      </c>
      <c r="D46" s="29" t="n">
        <v>500</v>
      </c>
      <c r="E46" s="29" t="s">
        <v>55</v>
      </c>
      <c r="F46" s="30" t="n">
        <v>16.4</v>
      </c>
      <c r="G46" s="31" t="n">
        <f aca="false">D46*F46</f>
        <v>8200</v>
      </c>
      <c r="H46" s="32" t="s">
        <v>604</v>
      </c>
    </row>
    <row r="47" customFormat="false" ht="23.85" hidden="false" customHeight="false" outlineLevel="0" collapsed="false">
      <c r="A47" s="28" t="s">
        <v>601</v>
      </c>
      <c r="B47" s="15" t="s">
        <v>598</v>
      </c>
      <c r="C47" s="15" t="s">
        <v>599</v>
      </c>
      <c r="D47" s="29" t="n">
        <v>2</v>
      </c>
      <c r="E47" s="29" t="s">
        <v>55</v>
      </c>
      <c r="F47" s="30" t="n">
        <v>757.58</v>
      </c>
      <c r="G47" s="31" t="n">
        <f aca="false">D47*F47</f>
        <v>1515.16</v>
      </c>
      <c r="H47" s="32" t="s">
        <v>604</v>
      </c>
    </row>
    <row r="48" customFormat="false" ht="15" hidden="false" customHeight="false" outlineLevel="0" collapsed="false">
      <c r="A48" s="27" t="s">
        <v>629</v>
      </c>
      <c r="B48" s="27"/>
      <c r="C48" s="27"/>
      <c r="D48" s="27"/>
      <c r="E48" s="27"/>
      <c r="F48" s="27"/>
      <c r="G48" s="27"/>
      <c r="H48" s="27"/>
    </row>
    <row r="49" customFormat="false" ht="15" hidden="false" customHeight="false" outlineLevel="0" collapsed="false">
      <c r="A49" s="28" t="s">
        <v>630</v>
      </c>
      <c r="B49" s="15" t="s">
        <v>631</v>
      </c>
      <c r="C49" s="15" t="s">
        <v>575</v>
      </c>
      <c r="D49" s="29" t="n">
        <v>46</v>
      </c>
      <c r="E49" s="29" t="s">
        <v>39</v>
      </c>
      <c r="F49" s="30" t="n">
        <v>593.01</v>
      </c>
      <c r="G49" s="31" t="n">
        <f aca="false">D49*F49</f>
        <v>27278.46</v>
      </c>
      <c r="H49" s="32" t="s">
        <v>632</v>
      </c>
    </row>
    <row r="50" customFormat="false" ht="15" hidden="false" customHeight="false" outlineLevel="0" collapsed="false">
      <c r="A50" s="28" t="s">
        <v>630</v>
      </c>
      <c r="B50" s="15" t="s">
        <v>633</v>
      </c>
      <c r="C50" s="15" t="s">
        <v>575</v>
      </c>
      <c r="D50" s="29" t="n">
        <v>20</v>
      </c>
      <c r="E50" s="29" t="s">
        <v>55</v>
      </c>
      <c r="F50" s="30" t="n">
        <v>40.27</v>
      </c>
      <c r="G50" s="31" t="n">
        <f aca="false">D50*F50</f>
        <v>805.4</v>
      </c>
      <c r="H50" s="32" t="s">
        <v>632</v>
      </c>
    </row>
    <row r="51" customFormat="false" ht="15" hidden="false" customHeight="false" outlineLevel="0" collapsed="false">
      <c r="A51" s="28" t="s">
        <v>630</v>
      </c>
      <c r="B51" s="15" t="s">
        <v>634</v>
      </c>
      <c r="C51" s="15" t="s">
        <v>575</v>
      </c>
      <c r="D51" s="29" t="n">
        <v>12</v>
      </c>
      <c r="E51" s="29" t="s">
        <v>55</v>
      </c>
      <c r="F51" s="30" t="n">
        <v>558.56</v>
      </c>
      <c r="G51" s="31" t="n">
        <f aca="false">D51*F51</f>
        <v>6702.72</v>
      </c>
      <c r="H51" s="32" t="s">
        <v>632</v>
      </c>
    </row>
    <row r="52" customFormat="false" ht="15" hidden="false" customHeight="false" outlineLevel="0" collapsed="false">
      <c r="A52" s="28" t="s">
        <v>630</v>
      </c>
      <c r="B52" s="15" t="s">
        <v>635</v>
      </c>
      <c r="C52" s="15" t="s">
        <v>575</v>
      </c>
      <c r="D52" s="29" t="n">
        <v>12</v>
      </c>
      <c r="E52" s="29" t="s">
        <v>55</v>
      </c>
      <c r="F52" s="30" t="n">
        <v>449.37</v>
      </c>
      <c r="G52" s="31" t="n">
        <f aca="false">D52*F52</f>
        <v>5392.44</v>
      </c>
      <c r="H52" s="32" t="s">
        <v>632</v>
      </c>
    </row>
    <row r="53" customFormat="false" ht="15" hidden="false" customHeight="false" outlineLevel="0" collapsed="false">
      <c r="A53" s="28" t="s">
        <v>630</v>
      </c>
      <c r="B53" s="15" t="s">
        <v>636</v>
      </c>
      <c r="C53" s="15" t="s">
        <v>575</v>
      </c>
      <c r="D53" s="29" t="n">
        <v>12</v>
      </c>
      <c r="E53" s="29" t="s">
        <v>55</v>
      </c>
      <c r="F53" s="30" t="n">
        <v>83.15</v>
      </c>
      <c r="G53" s="31" t="n">
        <f aca="false">D53*F53</f>
        <v>997.8</v>
      </c>
      <c r="H53" s="32" t="s">
        <v>632</v>
      </c>
    </row>
    <row r="54" customFormat="false" ht="15" hidden="false" customHeight="false" outlineLevel="0" collapsed="false">
      <c r="A54" s="28" t="s">
        <v>630</v>
      </c>
      <c r="B54" s="15" t="s">
        <v>637</v>
      </c>
      <c r="C54" s="15" t="s">
        <v>575</v>
      </c>
      <c r="D54" s="29" t="n">
        <v>46</v>
      </c>
      <c r="E54" s="29" t="s">
        <v>39</v>
      </c>
      <c r="F54" s="30" t="n">
        <v>91.94</v>
      </c>
      <c r="G54" s="31" t="n">
        <f aca="false">D54*F54</f>
        <v>4229.24</v>
      </c>
      <c r="H54" s="32" t="s">
        <v>632</v>
      </c>
    </row>
    <row r="55" customFormat="false" ht="15" hidden="false" customHeight="false" outlineLevel="0" collapsed="false">
      <c r="A55" s="28" t="s">
        <v>630</v>
      </c>
      <c r="B55" s="15" t="s">
        <v>638</v>
      </c>
      <c r="C55" s="15" t="s">
        <v>575</v>
      </c>
      <c r="D55" s="29" t="n">
        <v>4</v>
      </c>
      <c r="E55" s="29" t="s">
        <v>39</v>
      </c>
      <c r="F55" s="30" t="n">
        <v>446.32</v>
      </c>
      <c r="G55" s="31" t="n">
        <f aca="false">D55*F55</f>
        <v>1785.28</v>
      </c>
      <c r="H55" s="32" t="s">
        <v>632</v>
      </c>
    </row>
    <row r="56" customFormat="false" ht="23.85" hidden="false" customHeight="false" outlineLevel="0" collapsed="false">
      <c r="A56" s="28" t="s">
        <v>630</v>
      </c>
      <c r="B56" s="15" t="s">
        <v>639</v>
      </c>
      <c r="C56" s="15" t="s">
        <v>640</v>
      </c>
      <c r="D56" s="29" t="n">
        <v>1500</v>
      </c>
      <c r="E56" s="29" t="s">
        <v>39</v>
      </c>
      <c r="F56" s="30" t="n">
        <v>17.15</v>
      </c>
      <c r="G56" s="31" t="n">
        <f aca="false">D56*F56</f>
        <v>25725</v>
      </c>
      <c r="H56" s="32" t="s">
        <v>632</v>
      </c>
    </row>
    <row r="57" customFormat="false" ht="23.85" hidden="false" customHeight="false" outlineLevel="0" collapsed="false">
      <c r="A57" s="28" t="s">
        <v>630</v>
      </c>
      <c r="B57" s="15" t="s">
        <v>641</v>
      </c>
      <c r="C57" s="15" t="s">
        <v>575</v>
      </c>
      <c r="D57" s="29" t="n">
        <v>1500</v>
      </c>
      <c r="E57" s="29" t="s">
        <v>39</v>
      </c>
      <c r="F57" s="30" t="n">
        <v>14.22</v>
      </c>
      <c r="G57" s="31" t="n">
        <f aca="false">D57*F57</f>
        <v>21330</v>
      </c>
      <c r="H57" s="32" t="s">
        <v>632</v>
      </c>
    </row>
    <row r="58" customFormat="false" ht="15" hidden="false" customHeight="false" outlineLevel="0" collapsed="false">
      <c r="A58" s="28" t="s">
        <v>630</v>
      </c>
      <c r="B58" s="15" t="s">
        <v>642</v>
      </c>
      <c r="C58" s="15" t="s">
        <v>575</v>
      </c>
      <c r="D58" s="29" t="n">
        <v>368</v>
      </c>
      <c r="E58" s="29" t="s">
        <v>39</v>
      </c>
      <c r="F58" s="30" t="n">
        <v>30.8</v>
      </c>
      <c r="G58" s="31" t="n">
        <f aca="false">D58*F58</f>
        <v>11334.4</v>
      </c>
      <c r="H58" s="32" t="s">
        <v>632</v>
      </c>
    </row>
    <row r="59" customFormat="false" ht="15" hidden="false" customHeight="false" outlineLevel="0" collapsed="false">
      <c r="A59" s="28" t="s">
        <v>630</v>
      </c>
      <c r="B59" s="15" t="s">
        <v>643</v>
      </c>
      <c r="C59" s="15" t="s">
        <v>575</v>
      </c>
      <c r="D59" s="29" t="n">
        <v>5000</v>
      </c>
      <c r="E59" s="29" t="s">
        <v>55</v>
      </c>
      <c r="F59" s="30" t="n">
        <v>17.57</v>
      </c>
      <c r="G59" s="31" t="n">
        <f aca="false">D59*F59</f>
        <v>87850</v>
      </c>
      <c r="H59" s="32" t="s">
        <v>632</v>
      </c>
    </row>
    <row r="60" customFormat="false" ht="23.85" hidden="false" customHeight="false" outlineLevel="0" collapsed="false">
      <c r="A60" s="28" t="s">
        <v>630</v>
      </c>
      <c r="B60" s="15" t="s">
        <v>644</v>
      </c>
      <c r="C60" s="15" t="s">
        <v>575</v>
      </c>
      <c r="D60" s="29" t="n">
        <v>225</v>
      </c>
      <c r="E60" s="29" t="s">
        <v>39</v>
      </c>
      <c r="F60" s="30" t="n">
        <v>32.28</v>
      </c>
      <c r="G60" s="31" t="n">
        <f aca="false">D60*F60</f>
        <v>7263</v>
      </c>
      <c r="H60" s="32" t="s">
        <v>632</v>
      </c>
    </row>
    <row r="61" customFormat="false" ht="15" hidden="false" customHeight="false" outlineLevel="0" collapsed="false">
      <c r="A61" s="28" t="s">
        <v>630</v>
      </c>
      <c r="B61" s="15" t="s">
        <v>645</v>
      </c>
      <c r="C61" s="15" t="s">
        <v>575</v>
      </c>
      <c r="D61" s="29" t="n">
        <v>24</v>
      </c>
      <c r="E61" s="29" t="s">
        <v>39</v>
      </c>
      <c r="F61" s="30" t="n">
        <v>2504.92</v>
      </c>
      <c r="G61" s="31" t="n">
        <f aca="false">D61*F61</f>
        <v>60118.08</v>
      </c>
      <c r="H61" s="32" t="s">
        <v>632</v>
      </c>
    </row>
    <row r="62" customFormat="false" ht="23.85" hidden="false" customHeight="false" outlineLevel="0" collapsed="false">
      <c r="A62" s="28" t="s">
        <v>630</v>
      </c>
      <c r="B62" s="15" t="s">
        <v>646</v>
      </c>
      <c r="C62" s="15" t="s">
        <v>575</v>
      </c>
      <c r="D62" s="29" t="n">
        <v>4</v>
      </c>
      <c r="E62" s="29" t="s">
        <v>647</v>
      </c>
      <c r="F62" s="30" t="n">
        <v>3549.64</v>
      </c>
      <c r="G62" s="31" t="n">
        <f aca="false">D62*F62</f>
        <v>14198.56</v>
      </c>
      <c r="H62" s="32" t="s">
        <v>632</v>
      </c>
    </row>
    <row r="63" customFormat="false" ht="15" hidden="false" customHeight="false" outlineLevel="0" collapsed="false">
      <c r="A63" s="28" t="s">
        <v>630</v>
      </c>
      <c r="B63" s="15" t="s">
        <v>648</v>
      </c>
      <c r="C63" s="15" t="s">
        <v>575</v>
      </c>
      <c r="D63" s="29" t="n">
        <v>146</v>
      </c>
      <c r="E63" s="29" t="s">
        <v>39</v>
      </c>
      <c r="F63" s="30" t="n">
        <v>113.21</v>
      </c>
      <c r="G63" s="31" t="n">
        <f aca="false">D63*F63</f>
        <v>16528.66</v>
      </c>
      <c r="H63" s="32" t="s">
        <v>632</v>
      </c>
    </row>
    <row r="64" customFormat="false" ht="23.85" hidden="false" customHeight="false" outlineLevel="0" collapsed="false">
      <c r="A64" s="28" t="s">
        <v>630</v>
      </c>
      <c r="B64" s="15" t="s">
        <v>649</v>
      </c>
      <c r="C64" s="15" t="s">
        <v>575</v>
      </c>
      <c r="D64" s="29" t="n">
        <v>380</v>
      </c>
      <c r="E64" s="29" t="s">
        <v>55</v>
      </c>
      <c r="F64" s="30" t="n">
        <v>3.58</v>
      </c>
      <c r="G64" s="31" t="n">
        <f aca="false">D64*F64</f>
        <v>1360.4</v>
      </c>
      <c r="H64" s="32" t="s">
        <v>632</v>
      </c>
    </row>
    <row r="65" customFormat="false" ht="15" hidden="false" customHeight="false" outlineLevel="0" collapsed="false">
      <c r="A65" s="28" t="s">
        <v>630</v>
      </c>
      <c r="B65" s="15" t="s">
        <v>650</v>
      </c>
      <c r="C65" s="15" t="s">
        <v>575</v>
      </c>
      <c r="D65" s="29" t="n">
        <v>380</v>
      </c>
      <c r="E65" s="29" t="s">
        <v>55</v>
      </c>
      <c r="F65" s="30" t="n">
        <v>1.88</v>
      </c>
      <c r="G65" s="31" t="n">
        <f aca="false">D65*F65</f>
        <v>714.4</v>
      </c>
      <c r="H65" s="32" t="s">
        <v>632</v>
      </c>
    </row>
    <row r="66" customFormat="false" ht="15" hidden="false" customHeight="false" outlineLevel="0" collapsed="false">
      <c r="A66" s="28" t="s">
        <v>630</v>
      </c>
      <c r="B66" s="15" t="s">
        <v>651</v>
      </c>
      <c r="C66" s="15" t="s">
        <v>575</v>
      </c>
      <c r="D66" s="29" t="n">
        <v>36</v>
      </c>
      <c r="E66" s="29" t="s">
        <v>55</v>
      </c>
      <c r="F66" s="30" t="n">
        <v>87.81</v>
      </c>
      <c r="G66" s="31" t="n">
        <f aca="false">D66*F66</f>
        <v>3161.16</v>
      </c>
      <c r="H66" s="32" t="s">
        <v>632</v>
      </c>
    </row>
    <row r="67" customFormat="false" ht="15" hidden="false" customHeight="false" outlineLevel="0" collapsed="false">
      <c r="A67" s="28" t="s">
        <v>630</v>
      </c>
      <c r="B67" s="15" t="s">
        <v>652</v>
      </c>
      <c r="C67" s="15" t="s">
        <v>575</v>
      </c>
      <c r="D67" s="29" t="n">
        <v>648</v>
      </c>
      <c r="E67" s="29" t="s">
        <v>39</v>
      </c>
      <c r="F67" s="30" t="n">
        <v>285.92</v>
      </c>
      <c r="G67" s="31" t="n">
        <f aca="false">D67*F67</f>
        <v>185276.16</v>
      </c>
      <c r="H67" s="32" t="s">
        <v>632</v>
      </c>
    </row>
    <row r="68" customFormat="false" ht="15" hidden="false" customHeight="false" outlineLevel="0" collapsed="false">
      <c r="A68" s="28" t="s">
        <v>630</v>
      </c>
      <c r="B68" s="15" t="s">
        <v>653</v>
      </c>
      <c r="C68" s="15" t="s">
        <v>575</v>
      </c>
      <c r="D68" s="29" t="n">
        <v>430</v>
      </c>
      <c r="E68" s="29" t="s">
        <v>55</v>
      </c>
      <c r="F68" s="30" t="n">
        <v>132.06</v>
      </c>
      <c r="G68" s="31" t="n">
        <f aca="false">D68*F68</f>
        <v>56785.8</v>
      </c>
      <c r="H68" s="32" t="s">
        <v>632</v>
      </c>
    </row>
    <row r="69" customFormat="false" ht="15" hidden="false" customHeight="false" outlineLevel="0" collapsed="false">
      <c r="A69" s="28" t="s">
        <v>630</v>
      </c>
      <c r="B69" s="15" t="s">
        <v>654</v>
      </c>
      <c r="C69" s="15" t="s">
        <v>575</v>
      </c>
      <c r="D69" s="29" t="n">
        <v>400</v>
      </c>
      <c r="E69" s="29" t="s">
        <v>55</v>
      </c>
      <c r="F69" s="30" t="n">
        <v>323.24</v>
      </c>
      <c r="G69" s="31" t="n">
        <f aca="false">D69*F69</f>
        <v>129296</v>
      </c>
      <c r="H69" s="32" t="s">
        <v>632</v>
      </c>
    </row>
    <row r="70" customFormat="false" ht="15" hidden="false" customHeight="false" outlineLevel="0" collapsed="false">
      <c r="A70" s="28" t="s">
        <v>630</v>
      </c>
      <c r="B70" s="15" t="s">
        <v>655</v>
      </c>
      <c r="C70" s="15" t="s">
        <v>575</v>
      </c>
      <c r="D70" s="29" t="n">
        <v>800</v>
      </c>
      <c r="E70" s="29" t="s">
        <v>55</v>
      </c>
      <c r="F70" s="30" t="n">
        <v>238.8</v>
      </c>
      <c r="G70" s="31" t="n">
        <f aca="false">D70*F70</f>
        <v>191040</v>
      </c>
      <c r="H70" s="32" t="s">
        <v>632</v>
      </c>
    </row>
    <row r="71" customFormat="false" ht="15" hidden="false" customHeight="false" outlineLevel="0" collapsed="false">
      <c r="A71" s="28" t="s">
        <v>630</v>
      </c>
      <c r="B71" s="15" t="s">
        <v>656</v>
      </c>
      <c r="C71" s="15" t="s">
        <v>575</v>
      </c>
      <c r="D71" s="29" t="n">
        <v>80</v>
      </c>
      <c r="E71" s="29" t="s">
        <v>55</v>
      </c>
      <c r="F71" s="30" t="n">
        <v>203.23</v>
      </c>
      <c r="G71" s="31" t="n">
        <f aca="false">D71*F71</f>
        <v>16258.4</v>
      </c>
      <c r="H71" s="32" t="s">
        <v>632</v>
      </c>
    </row>
    <row r="72" customFormat="false" ht="15" hidden="false" customHeight="false" outlineLevel="0" collapsed="false">
      <c r="A72" s="28" t="s">
        <v>630</v>
      </c>
      <c r="B72" s="15" t="s">
        <v>610</v>
      </c>
      <c r="C72" s="15" t="s">
        <v>575</v>
      </c>
      <c r="D72" s="29" t="n">
        <v>45</v>
      </c>
      <c r="E72" s="29" t="s">
        <v>39</v>
      </c>
      <c r="F72" s="30" t="n">
        <v>1198.66</v>
      </c>
      <c r="G72" s="31" t="n">
        <f aca="false">D72*F72</f>
        <v>53939.7</v>
      </c>
      <c r="H72" s="32" t="s">
        <v>632</v>
      </c>
    </row>
    <row r="73" customFormat="false" ht="23.85" hidden="false" customHeight="false" outlineLevel="0" collapsed="false">
      <c r="A73" s="28" t="s">
        <v>630</v>
      </c>
      <c r="B73" s="15" t="s">
        <v>657</v>
      </c>
      <c r="C73" s="15" t="s">
        <v>575</v>
      </c>
      <c r="D73" s="29" t="n">
        <v>39</v>
      </c>
      <c r="E73" s="29" t="s">
        <v>55</v>
      </c>
      <c r="F73" s="30" t="n">
        <v>33618.39</v>
      </c>
      <c r="G73" s="31" t="n">
        <f aca="false">D73*F73</f>
        <v>1311117.21</v>
      </c>
      <c r="H73" s="32" t="s">
        <v>632</v>
      </c>
    </row>
    <row r="74" customFormat="false" ht="15" hidden="false" customHeight="false" outlineLevel="0" collapsed="false">
      <c r="A74" s="28" t="s">
        <v>630</v>
      </c>
      <c r="B74" s="15" t="s">
        <v>658</v>
      </c>
      <c r="C74" s="15" t="s">
        <v>575</v>
      </c>
      <c r="D74" s="29" t="n">
        <v>3</v>
      </c>
      <c r="E74" s="29" t="s">
        <v>55</v>
      </c>
      <c r="F74" s="30" t="n">
        <v>2151.68</v>
      </c>
      <c r="G74" s="31" t="n">
        <f aca="false">D74*F74</f>
        <v>6455.04</v>
      </c>
      <c r="H74" s="32" t="s">
        <v>632</v>
      </c>
    </row>
    <row r="75" customFormat="false" ht="15" hidden="false" customHeight="false" outlineLevel="0" collapsed="false">
      <c r="A75" s="28" t="s">
        <v>630</v>
      </c>
      <c r="B75" s="15" t="s">
        <v>659</v>
      </c>
      <c r="C75" s="15" t="s">
        <v>575</v>
      </c>
      <c r="D75" s="29" t="n">
        <v>96</v>
      </c>
      <c r="E75" s="29" t="s">
        <v>55</v>
      </c>
      <c r="F75" s="30" t="n">
        <v>314.29</v>
      </c>
      <c r="G75" s="31" t="n">
        <f aca="false">D75*F75</f>
        <v>30171.84</v>
      </c>
      <c r="H75" s="32" t="s">
        <v>632</v>
      </c>
    </row>
    <row r="76" customFormat="false" ht="15" hidden="false" customHeight="false" outlineLevel="0" collapsed="false">
      <c r="A76" s="28" t="s">
        <v>630</v>
      </c>
      <c r="B76" s="15" t="s">
        <v>660</v>
      </c>
      <c r="C76" s="15" t="s">
        <v>575</v>
      </c>
      <c r="D76" s="29" t="n">
        <v>11</v>
      </c>
      <c r="E76" s="29" t="s">
        <v>55</v>
      </c>
      <c r="F76" s="30" t="n">
        <v>269.39</v>
      </c>
      <c r="G76" s="31" t="n">
        <f aca="false">D76*F76</f>
        <v>2963.29</v>
      </c>
      <c r="H76" s="32" t="s">
        <v>632</v>
      </c>
    </row>
    <row r="77" customFormat="false" ht="23.85" hidden="false" customHeight="false" outlineLevel="0" collapsed="false">
      <c r="A77" s="28" t="s">
        <v>630</v>
      </c>
      <c r="B77" s="15" t="s">
        <v>661</v>
      </c>
      <c r="C77" s="15" t="s">
        <v>575</v>
      </c>
      <c r="D77" s="29" t="n">
        <v>102</v>
      </c>
      <c r="E77" s="29" t="s">
        <v>55</v>
      </c>
      <c r="F77" s="30" t="n">
        <v>188.58</v>
      </c>
      <c r="G77" s="31" t="n">
        <f aca="false">D77*F77</f>
        <v>19235.16</v>
      </c>
      <c r="H77" s="32" t="s">
        <v>632</v>
      </c>
    </row>
    <row r="78" customFormat="false" ht="23.85" hidden="false" customHeight="false" outlineLevel="0" collapsed="false">
      <c r="A78" s="28" t="s">
        <v>630</v>
      </c>
      <c r="B78" s="15" t="s">
        <v>662</v>
      </c>
      <c r="C78" s="15" t="s">
        <v>575</v>
      </c>
      <c r="D78" s="29" t="n">
        <v>208</v>
      </c>
      <c r="E78" s="29" t="s">
        <v>55</v>
      </c>
      <c r="F78" s="30" t="n">
        <v>254.58</v>
      </c>
      <c r="G78" s="31" t="n">
        <f aca="false">D78*F78</f>
        <v>52952.64</v>
      </c>
      <c r="H78" s="32" t="s">
        <v>632</v>
      </c>
    </row>
    <row r="79" customFormat="false" ht="23.85" hidden="false" customHeight="false" outlineLevel="0" collapsed="false">
      <c r="A79" s="28" t="s">
        <v>630</v>
      </c>
      <c r="B79" s="15" t="s">
        <v>613</v>
      </c>
      <c r="C79" s="15" t="s">
        <v>612</v>
      </c>
      <c r="D79" s="29" t="n">
        <v>21</v>
      </c>
      <c r="E79" s="29" t="s">
        <v>55</v>
      </c>
      <c r="F79" s="30" t="n">
        <v>237.84</v>
      </c>
      <c r="G79" s="31" t="n">
        <f aca="false">D79*F79</f>
        <v>4994.64</v>
      </c>
      <c r="H79" s="32" t="s">
        <v>632</v>
      </c>
    </row>
    <row r="80" customFormat="false" ht="23.85" hidden="false" customHeight="false" outlineLevel="0" collapsed="false">
      <c r="A80" s="28" t="s">
        <v>630</v>
      </c>
      <c r="B80" s="15" t="s">
        <v>663</v>
      </c>
      <c r="C80" s="15" t="s">
        <v>612</v>
      </c>
      <c r="D80" s="29" t="n">
        <v>18</v>
      </c>
      <c r="E80" s="29" t="s">
        <v>55</v>
      </c>
      <c r="F80" s="30" t="n">
        <v>468.97</v>
      </c>
      <c r="G80" s="31" t="n">
        <f aca="false">D80*F80</f>
        <v>8441.46</v>
      </c>
      <c r="H80" s="32" t="s">
        <v>632</v>
      </c>
    </row>
    <row r="81" customFormat="false" ht="23.85" hidden="false" customHeight="false" outlineLevel="0" collapsed="false">
      <c r="A81" s="28" t="s">
        <v>630</v>
      </c>
      <c r="B81" s="15" t="s">
        <v>609</v>
      </c>
      <c r="C81" s="15" t="s">
        <v>575</v>
      </c>
      <c r="D81" s="29" t="n">
        <v>300</v>
      </c>
      <c r="E81" s="29" t="s">
        <v>55</v>
      </c>
      <c r="F81" s="30" t="n">
        <v>113.56</v>
      </c>
      <c r="G81" s="31" t="n">
        <f aca="false">D81*F81</f>
        <v>34068</v>
      </c>
      <c r="H81" s="32" t="s">
        <v>632</v>
      </c>
    </row>
    <row r="82" customFormat="false" ht="15" hidden="false" customHeight="false" outlineLevel="0" collapsed="false">
      <c r="A82" s="28" t="s">
        <v>630</v>
      </c>
      <c r="B82" s="15" t="s">
        <v>610</v>
      </c>
      <c r="C82" s="15" t="s">
        <v>575</v>
      </c>
      <c r="D82" s="29" t="n">
        <v>6</v>
      </c>
      <c r="E82" s="29" t="s">
        <v>39</v>
      </c>
      <c r="F82" s="30" t="n">
        <v>1198.66</v>
      </c>
      <c r="G82" s="31" t="n">
        <f aca="false">D82*F82</f>
        <v>7191.96</v>
      </c>
      <c r="H82" s="32" t="s">
        <v>632</v>
      </c>
    </row>
    <row r="83" customFormat="false" ht="23.85" hidden="false" customHeight="false" outlineLevel="0" collapsed="false">
      <c r="A83" s="28" t="s">
        <v>630</v>
      </c>
      <c r="B83" s="15" t="s">
        <v>611</v>
      </c>
      <c r="C83" s="15" t="s">
        <v>612</v>
      </c>
      <c r="D83" s="29" t="n">
        <v>62</v>
      </c>
      <c r="E83" s="29" t="s">
        <v>55</v>
      </c>
      <c r="F83" s="30" t="n">
        <v>239.49</v>
      </c>
      <c r="G83" s="31" t="n">
        <f aca="false">D83*F83</f>
        <v>14848.38</v>
      </c>
      <c r="H83" s="32" t="s">
        <v>632</v>
      </c>
    </row>
    <row r="84" customFormat="false" ht="15" hidden="false" customHeight="false" outlineLevel="0" collapsed="false">
      <c r="A84" s="28" t="s">
        <v>630</v>
      </c>
      <c r="B84" s="15" t="s">
        <v>664</v>
      </c>
      <c r="C84" s="15" t="s">
        <v>665</v>
      </c>
      <c r="D84" s="29" t="n">
        <v>480</v>
      </c>
      <c r="E84" s="29" t="s">
        <v>39</v>
      </c>
      <c r="F84" s="30" t="n">
        <v>1377.23</v>
      </c>
      <c r="G84" s="31" t="n">
        <f aca="false">D84*F84</f>
        <v>661070.4</v>
      </c>
      <c r="H84" s="32" t="s">
        <v>632</v>
      </c>
    </row>
    <row r="85" customFormat="false" ht="15" hidden="false" customHeight="false" outlineLevel="0" collapsed="false">
      <c r="A85" s="28" t="s">
        <v>630</v>
      </c>
      <c r="B85" s="15" t="s">
        <v>666</v>
      </c>
      <c r="C85" s="15" t="s">
        <v>667</v>
      </c>
      <c r="D85" s="29" t="n">
        <v>500</v>
      </c>
      <c r="E85" s="29" t="s">
        <v>39</v>
      </c>
      <c r="F85" s="30" t="n">
        <v>911.51</v>
      </c>
      <c r="G85" s="31" t="n">
        <f aca="false">D85*F85</f>
        <v>455755</v>
      </c>
      <c r="H85" s="32" t="s">
        <v>632</v>
      </c>
    </row>
    <row r="86" customFormat="false" ht="15" hidden="false" customHeight="false" outlineLevel="0" collapsed="false">
      <c r="A86" s="28" t="s">
        <v>630</v>
      </c>
      <c r="B86" s="15" t="s">
        <v>668</v>
      </c>
      <c r="C86" s="15" t="s">
        <v>665</v>
      </c>
      <c r="D86" s="29" t="n">
        <v>460</v>
      </c>
      <c r="E86" s="29" t="s">
        <v>39</v>
      </c>
      <c r="F86" s="30" t="n">
        <v>7737.72</v>
      </c>
      <c r="G86" s="31" t="n">
        <f aca="false">D86*F86</f>
        <v>3559351.2</v>
      </c>
      <c r="H86" s="32" t="s">
        <v>632</v>
      </c>
    </row>
    <row r="87" customFormat="false" ht="23.85" hidden="false" customHeight="false" outlineLevel="0" collapsed="false">
      <c r="A87" s="28" t="s">
        <v>630</v>
      </c>
      <c r="B87" s="15" t="s">
        <v>669</v>
      </c>
      <c r="C87" s="15" t="s">
        <v>670</v>
      </c>
      <c r="D87" s="29" t="n">
        <v>20</v>
      </c>
      <c r="E87" s="29" t="s">
        <v>55</v>
      </c>
      <c r="F87" s="30" t="n">
        <v>198.25</v>
      </c>
      <c r="G87" s="31" t="n">
        <f aca="false">D87*F87</f>
        <v>3965</v>
      </c>
      <c r="H87" s="32" t="s">
        <v>632</v>
      </c>
    </row>
    <row r="88" customFormat="false" ht="23.85" hidden="false" customHeight="false" outlineLevel="0" collapsed="false">
      <c r="A88" s="28" t="s">
        <v>630</v>
      </c>
      <c r="B88" s="15" t="s">
        <v>671</v>
      </c>
      <c r="C88" s="15" t="s">
        <v>575</v>
      </c>
      <c r="D88" s="29" t="n">
        <v>50</v>
      </c>
      <c r="E88" s="29" t="s">
        <v>39</v>
      </c>
      <c r="F88" s="30" t="n">
        <v>171.51</v>
      </c>
      <c r="G88" s="31" t="n">
        <f aca="false">D88*F88</f>
        <v>8575.5</v>
      </c>
      <c r="H88" s="32" t="s">
        <v>632</v>
      </c>
    </row>
    <row r="89" customFormat="false" ht="23.85" hidden="false" customHeight="false" outlineLevel="0" collapsed="false">
      <c r="A89" s="28" t="s">
        <v>630</v>
      </c>
      <c r="B89" s="15" t="s">
        <v>672</v>
      </c>
      <c r="C89" s="15" t="s">
        <v>575</v>
      </c>
      <c r="D89" s="29" t="n">
        <v>223</v>
      </c>
      <c r="E89" s="29" t="s">
        <v>55</v>
      </c>
      <c r="F89" s="30" t="n">
        <v>1334.41</v>
      </c>
      <c r="G89" s="31" t="n">
        <f aca="false">D89*F89</f>
        <v>297573.43</v>
      </c>
      <c r="H89" s="32" t="s">
        <v>632</v>
      </c>
    </row>
    <row r="90" customFormat="false" ht="15" hidden="false" customHeight="false" outlineLevel="0" collapsed="false">
      <c r="A90" s="28" t="s">
        <v>630</v>
      </c>
      <c r="B90" s="15" t="s">
        <v>673</v>
      </c>
      <c r="C90" s="15" t="s">
        <v>665</v>
      </c>
      <c r="D90" s="29" t="n">
        <v>30</v>
      </c>
      <c r="E90" s="29" t="s">
        <v>39</v>
      </c>
      <c r="F90" s="30" t="n">
        <v>7646.72</v>
      </c>
      <c r="G90" s="31" t="n">
        <f aca="false">D90*F90</f>
        <v>229401.6</v>
      </c>
      <c r="H90" s="32" t="s">
        <v>632</v>
      </c>
    </row>
    <row r="91" customFormat="false" ht="15" hidden="false" customHeight="false" outlineLevel="0" collapsed="false">
      <c r="A91" s="28" t="s">
        <v>630</v>
      </c>
      <c r="B91" s="15" t="s">
        <v>674</v>
      </c>
      <c r="C91" s="15" t="s">
        <v>617</v>
      </c>
      <c r="D91" s="29" t="n">
        <v>30</v>
      </c>
      <c r="E91" s="29" t="s">
        <v>39</v>
      </c>
      <c r="F91" s="30" t="n">
        <v>7854.9</v>
      </c>
      <c r="G91" s="31" t="n">
        <f aca="false">D91*F91</f>
        <v>235647</v>
      </c>
      <c r="H91" s="32" t="s">
        <v>632</v>
      </c>
    </row>
    <row r="92" customFormat="false" ht="15" hidden="false" customHeight="false" outlineLevel="0" collapsed="false">
      <c r="A92" s="28" t="s">
        <v>630</v>
      </c>
      <c r="B92" s="15" t="s">
        <v>675</v>
      </c>
      <c r="C92" s="15" t="s">
        <v>617</v>
      </c>
      <c r="D92" s="29" t="n">
        <v>545</v>
      </c>
      <c r="E92" s="29" t="s">
        <v>39</v>
      </c>
      <c r="F92" s="30" t="n">
        <v>1389.95</v>
      </c>
      <c r="G92" s="31" t="n">
        <f aca="false">D92*F92</f>
        <v>757522.75</v>
      </c>
      <c r="H92" s="32" t="s">
        <v>632</v>
      </c>
    </row>
    <row r="93" customFormat="false" ht="23.85" hidden="false" customHeight="false" outlineLevel="0" collapsed="false">
      <c r="A93" s="28" t="s">
        <v>630</v>
      </c>
      <c r="B93" s="15" t="s">
        <v>676</v>
      </c>
      <c r="C93" s="15" t="s">
        <v>665</v>
      </c>
      <c r="D93" s="29" t="n">
        <v>15</v>
      </c>
      <c r="E93" s="29" t="s">
        <v>39</v>
      </c>
      <c r="F93" s="30" t="n">
        <v>840.91</v>
      </c>
      <c r="G93" s="31" t="n">
        <f aca="false">D93*F93</f>
        <v>12613.65</v>
      </c>
      <c r="H93" s="32" t="s">
        <v>632</v>
      </c>
    </row>
    <row r="94" customFormat="false" ht="23.85" hidden="false" customHeight="false" outlineLevel="0" collapsed="false">
      <c r="A94" s="28" t="s">
        <v>630</v>
      </c>
      <c r="B94" s="15" t="s">
        <v>677</v>
      </c>
      <c r="C94" s="15" t="s">
        <v>665</v>
      </c>
      <c r="D94" s="29" t="n">
        <v>395</v>
      </c>
      <c r="E94" s="29" t="s">
        <v>39</v>
      </c>
      <c r="F94" s="30" t="n">
        <v>534.07</v>
      </c>
      <c r="G94" s="31" t="n">
        <f aca="false">D94*F94</f>
        <v>210957.65</v>
      </c>
      <c r="H94" s="32" t="s">
        <v>632</v>
      </c>
    </row>
    <row r="95" customFormat="false" ht="15" hidden="false" customHeight="false" outlineLevel="0" collapsed="false">
      <c r="A95" s="28" t="s">
        <v>630</v>
      </c>
      <c r="B95" s="15" t="s">
        <v>678</v>
      </c>
      <c r="C95" s="15" t="s">
        <v>617</v>
      </c>
      <c r="D95" s="29" t="n">
        <v>475</v>
      </c>
      <c r="E95" s="29" t="s">
        <v>39</v>
      </c>
      <c r="F95" s="30" t="n">
        <v>317.97</v>
      </c>
      <c r="G95" s="31" t="n">
        <f aca="false">D95*F95</f>
        <v>151035.75</v>
      </c>
      <c r="H95" s="32" t="s">
        <v>632</v>
      </c>
    </row>
    <row r="96" customFormat="false" ht="15" hidden="false" customHeight="false" outlineLevel="0" collapsed="false">
      <c r="A96" s="28" t="s">
        <v>630</v>
      </c>
      <c r="B96" s="15" t="s">
        <v>625</v>
      </c>
      <c r="C96" s="15" t="s">
        <v>617</v>
      </c>
      <c r="D96" s="29" t="n">
        <v>920</v>
      </c>
      <c r="E96" s="29" t="s">
        <v>39</v>
      </c>
      <c r="F96" s="30" t="n">
        <v>215.45</v>
      </c>
      <c r="G96" s="31" t="n">
        <f aca="false">D96*F96</f>
        <v>198214</v>
      </c>
      <c r="H96" s="32" t="s">
        <v>632</v>
      </c>
    </row>
    <row r="97" customFormat="false" ht="23.85" hidden="false" customHeight="false" outlineLevel="0" collapsed="false">
      <c r="A97" s="28" t="s">
        <v>630</v>
      </c>
      <c r="B97" s="15" t="s">
        <v>679</v>
      </c>
      <c r="C97" s="15" t="s">
        <v>617</v>
      </c>
      <c r="D97" s="29" t="n">
        <v>640</v>
      </c>
      <c r="E97" s="29" t="s">
        <v>39</v>
      </c>
      <c r="F97" s="30" t="n">
        <v>132.11</v>
      </c>
      <c r="G97" s="31" t="n">
        <f aca="false">D97*F97</f>
        <v>84550.4</v>
      </c>
      <c r="H97" s="32" t="s">
        <v>632</v>
      </c>
    </row>
    <row r="98" customFormat="false" ht="15" hidden="false" customHeight="false" outlineLevel="0" collapsed="false">
      <c r="A98" s="28" t="s">
        <v>630</v>
      </c>
      <c r="B98" s="15" t="s">
        <v>680</v>
      </c>
      <c r="C98" s="15" t="s">
        <v>617</v>
      </c>
      <c r="D98" s="29" t="n">
        <v>1795</v>
      </c>
      <c r="E98" s="29" t="s">
        <v>39</v>
      </c>
      <c r="F98" s="30" t="n">
        <v>143.93</v>
      </c>
      <c r="G98" s="31" t="n">
        <f aca="false">D98*F98</f>
        <v>258354.35</v>
      </c>
      <c r="H98" s="32" t="s">
        <v>632</v>
      </c>
    </row>
    <row r="99" customFormat="false" ht="15" hidden="false" customHeight="false" outlineLevel="0" collapsed="false">
      <c r="A99" s="28" t="s">
        <v>630</v>
      </c>
      <c r="B99" s="15" t="s">
        <v>624</v>
      </c>
      <c r="C99" s="15" t="s">
        <v>617</v>
      </c>
      <c r="D99" s="29" t="n">
        <v>6500</v>
      </c>
      <c r="E99" s="29" t="s">
        <v>39</v>
      </c>
      <c r="F99" s="30" t="n">
        <v>84.87</v>
      </c>
      <c r="G99" s="31" t="n">
        <f aca="false">D99*F99</f>
        <v>551655</v>
      </c>
      <c r="H99" s="32" t="s">
        <v>632</v>
      </c>
    </row>
    <row r="100" customFormat="false" ht="15" hidden="false" customHeight="false" outlineLevel="0" collapsed="false">
      <c r="A100" s="28" t="s">
        <v>630</v>
      </c>
      <c r="B100" s="15" t="s">
        <v>681</v>
      </c>
      <c r="C100" s="15" t="s">
        <v>617</v>
      </c>
      <c r="D100" s="29" t="n">
        <v>905</v>
      </c>
      <c r="E100" s="29" t="s">
        <v>39</v>
      </c>
      <c r="F100" s="30" t="n">
        <v>93.32</v>
      </c>
      <c r="G100" s="31" t="n">
        <f aca="false">D100*F100</f>
        <v>84454.6</v>
      </c>
      <c r="H100" s="32" t="s">
        <v>632</v>
      </c>
    </row>
    <row r="101" customFormat="false" ht="15" hidden="false" customHeight="false" outlineLevel="0" collapsed="false">
      <c r="A101" s="28" t="s">
        <v>630</v>
      </c>
      <c r="B101" s="15" t="s">
        <v>682</v>
      </c>
      <c r="C101" s="15" t="s">
        <v>617</v>
      </c>
      <c r="D101" s="29" t="n">
        <v>100</v>
      </c>
      <c r="E101" s="29" t="s">
        <v>39</v>
      </c>
      <c r="F101" s="30" t="n">
        <v>71.87</v>
      </c>
      <c r="G101" s="31" t="n">
        <f aca="false">D101*F101</f>
        <v>7187</v>
      </c>
      <c r="H101" s="32" t="s">
        <v>632</v>
      </c>
    </row>
    <row r="102" customFormat="false" ht="15" hidden="false" customHeight="false" outlineLevel="0" collapsed="false">
      <c r="A102" s="28" t="s">
        <v>630</v>
      </c>
      <c r="B102" s="15" t="s">
        <v>618</v>
      </c>
      <c r="C102" s="15" t="s">
        <v>619</v>
      </c>
      <c r="D102" s="29" t="n">
        <v>1043</v>
      </c>
      <c r="E102" s="29" t="s">
        <v>39</v>
      </c>
      <c r="F102" s="30" t="n">
        <v>58.04</v>
      </c>
      <c r="G102" s="31" t="n">
        <f aca="false">D102*F102</f>
        <v>60535.72</v>
      </c>
      <c r="H102" s="32" t="s">
        <v>632</v>
      </c>
    </row>
    <row r="103" customFormat="false" ht="23.85" hidden="false" customHeight="false" outlineLevel="0" collapsed="false">
      <c r="A103" s="28" t="s">
        <v>630</v>
      </c>
      <c r="B103" s="15" t="s">
        <v>614</v>
      </c>
      <c r="C103" s="15" t="s">
        <v>615</v>
      </c>
      <c r="D103" s="29" t="n">
        <v>15</v>
      </c>
      <c r="E103" s="29" t="s">
        <v>39</v>
      </c>
      <c r="F103" s="30" t="n">
        <v>41.77</v>
      </c>
      <c r="G103" s="31" t="n">
        <f aca="false">D103*F103</f>
        <v>626.55</v>
      </c>
      <c r="H103" s="32" t="s">
        <v>632</v>
      </c>
    </row>
    <row r="104" customFormat="false" ht="15" hidden="false" customHeight="false" outlineLevel="0" collapsed="false">
      <c r="A104" s="28" t="s">
        <v>630</v>
      </c>
      <c r="B104" s="15" t="s">
        <v>683</v>
      </c>
      <c r="C104" s="15" t="s">
        <v>617</v>
      </c>
      <c r="D104" s="29" t="n">
        <v>220</v>
      </c>
      <c r="E104" s="29" t="s">
        <v>39</v>
      </c>
      <c r="F104" s="30" t="n">
        <v>6171.41</v>
      </c>
      <c r="G104" s="31" t="n">
        <f aca="false">D104*F104</f>
        <v>1357710.2</v>
      </c>
      <c r="H104" s="32" t="s">
        <v>632</v>
      </c>
    </row>
    <row r="105" customFormat="false" ht="15" hidden="false" customHeight="false" outlineLevel="0" collapsed="false">
      <c r="A105" s="28" t="s">
        <v>630</v>
      </c>
      <c r="B105" s="15" t="s">
        <v>684</v>
      </c>
      <c r="C105" s="15" t="s">
        <v>617</v>
      </c>
      <c r="D105" s="29" t="n">
        <v>970</v>
      </c>
      <c r="E105" s="29" t="s">
        <v>39</v>
      </c>
      <c r="F105" s="30" t="n">
        <v>244.15</v>
      </c>
      <c r="G105" s="31" t="n">
        <f aca="false">D105*F105</f>
        <v>236825.5</v>
      </c>
      <c r="H105" s="32" t="s">
        <v>632</v>
      </c>
    </row>
    <row r="106" customFormat="false" ht="15" hidden="false" customHeight="false" outlineLevel="0" collapsed="false">
      <c r="A106" s="28" t="s">
        <v>630</v>
      </c>
      <c r="B106" s="15" t="s">
        <v>685</v>
      </c>
      <c r="C106" s="15" t="s">
        <v>617</v>
      </c>
      <c r="D106" s="29" t="n">
        <v>990</v>
      </c>
      <c r="E106" s="29" t="s">
        <v>39</v>
      </c>
      <c r="F106" s="30" t="n">
        <v>97.52</v>
      </c>
      <c r="G106" s="31" t="n">
        <f aca="false">D106*F106</f>
        <v>96544.8</v>
      </c>
      <c r="H106" s="32" t="s">
        <v>632</v>
      </c>
    </row>
    <row r="107" customFormat="false" ht="15" hidden="false" customHeight="false" outlineLevel="0" collapsed="false">
      <c r="A107" s="28" t="s">
        <v>630</v>
      </c>
      <c r="B107" s="15" t="s">
        <v>686</v>
      </c>
      <c r="C107" s="15" t="s">
        <v>687</v>
      </c>
      <c r="D107" s="29" t="n">
        <v>100</v>
      </c>
      <c r="E107" s="29" t="s">
        <v>39</v>
      </c>
      <c r="F107" s="30" t="n">
        <v>172.87</v>
      </c>
      <c r="G107" s="31" t="n">
        <f aca="false">D107*F107</f>
        <v>17287</v>
      </c>
      <c r="H107" s="32" t="s">
        <v>632</v>
      </c>
    </row>
    <row r="108" customFormat="false" ht="15" hidden="false" customHeight="false" outlineLevel="0" collapsed="false">
      <c r="A108" s="28" t="s">
        <v>630</v>
      </c>
      <c r="B108" s="15" t="s">
        <v>688</v>
      </c>
      <c r="C108" s="15" t="s">
        <v>670</v>
      </c>
      <c r="D108" s="29" t="n">
        <v>4</v>
      </c>
      <c r="E108" s="29" t="s">
        <v>55</v>
      </c>
      <c r="F108" s="30" t="n">
        <v>6686.44</v>
      </c>
      <c r="G108" s="31" t="n">
        <f aca="false">D108*F108</f>
        <v>26745.76</v>
      </c>
      <c r="H108" s="32" t="s">
        <v>632</v>
      </c>
    </row>
    <row r="109" customFormat="false" ht="15" hidden="false" customHeight="false" outlineLevel="0" collapsed="false">
      <c r="A109" s="28" t="s">
        <v>630</v>
      </c>
      <c r="B109" s="15" t="s">
        <v>689</v>
      </c>
      <c r="C109" s="15" t="s">
        <v>670</v>
      </c>
      <c r="D109" s="29" t="n">
        <v>4</v>
      </c>
      <c r="E109" s="29" t="s">
        <v>55</v>
      </c>
      <c r="F109" s="30" t="n">
        <v>2832.61</v>
      </c>
      <c r="G109" s="31" t="n">
        <f aca="false">D109*F109</f>
        <v>11330.44</v>
      </c>
      <c r="H109" s="32" t="s">
        <v>632</v>
      </c>
    </row>
    <row r="110" customFormat="false" ht="23.85" hidden="false" customHeight="false" outlineLevel="0" collapsed="false">
      <c r="A110" s="28" t="s">
        <v>630</v>
      </c>
      <c r="B110" s="15" t="s">
        <v>669</v>
      </c>
      <c r="C110" s="15" t="s">
        <v>670</v>
      </c>
      <c r="D110" s="29" t="n">
        <v>20</v>
      </c>
      <c r="E110" s="29" t="s">
        <v>55</v>
      </c>
      <c r="F110" s="30" t="n">
        <v>198.25</v>
      </c>
      <c r="G110" s="31" t="n">
        <f aca="false">D110*F110</f>
        <v>3965</v>
      </c>
      <c r="H110" s="32" t="s">
        <v>632</v>
      </c>
    </row>
    <row r="111" customFormat="false" ht="15" hidden="false" customHeight="false" outlineLevel="0" collapsed="false">
      <c r="A111" s="27" t="s">
        <v>690</v>
      </c>
      <c r="B111" s="27"/>
      <c r="C111" s="27"/>
      <c r="D111" s="27"/>
      <c r="E111" s="27"/>
      <c r="F111" s="27"/>
      <c r="G111" s="27"/>
      <c r="H111" s="27"/>
    </row>
    <row r="112" customFormat="false" ht="23.85" hidden="false" customHeight="false" outlineLevel="0" collapsed="false">
      <c r="A112" s="28" t="s">
        <v>691</v>
      </c>
      <c r="B112" s="15" t="s">
        <v>692</v>
      </c>
      <c r="C112" s="15" t="s">
        <v>424</v>
      </c>
      <c r="D112" s="29" t="n">
        <v>130</v>
      </c>
      <c r="E112" s="29" t="s">
        <v>55</v>
      </c>
      <c r="F112" s="30" t="n">
        <v>18285.38</v>
      </c>
      <c r="G112" s="31" t="n">
        <f aca="false">D112*F112</f>
        <v>2377099.4</v>
      </c>
      <c r="H112" s="32" t="s">
        <v>693</v>
      </c>
    </row>
    <row r="113" customFormat="false" ht="15" hidden="false" customHeight="false" outlineLevel="0" collapsed="false">
      <c r="A113" s="28" t="s">
        <v>691</v>
      </c>
      <c r="B113" s="15" t="s">
        <v>694</v>
      </c>
      <c r="C113" s="15" t="s">
        <v>695</v>
      </c>
      <c r="D113" s="29" t="n">
        <v>27</v>
      </c>
      <c r="E113" s="29" t="s">
        <v>55</v>
      </c>
      <c r="F113" s="30" t="n">
        <v>9331.97</v>
      </c>
      <c r="G113" s="31" t="n">
        <f aca="false">D113*F113</f>
        <v>251963.19</v>
      </c>
      <c r="H113" s="32" t="s">
        <v>693</v>
      </c>
    </row>
    <row r="114" customFormat="false" ht="23.85" hidden="false" customHeight="false" outlineLevel="0" collapsed="false">
      <c r="A114" s="28" t="s">
        <v>691</v>
      </c>
      <c r="B114" s="15" t="s">
        <v>606</v>
      </c>
      <c r="C114" s="15" t="s">
        <v>424</v>
      </c>
      <c r="D114" s="29" t="n">
        <v>8</v>
      </c>
      <c r="E114" s="29" t="s">
        <v>55</v>
      </c>
      <c r="F114" s="30" t="n">
        <v>4920.34</v>
      </c>
      <c r="G114" s="31" t="n">
        <f aca="false">D114*F114</f>
        <v>39362.72</v>
      </c>
      <c r="H114" s="32" t="s">
        <v>693</v>
      </c>
    </row>
    <row r="115" customFormat="false" ht="23.85" hidden="false" customHeight="false" outlineLevel="0" collapsed="false">
      <c r="A115" s="28" t="s">
        <v>691</v>
      </c>
      <c r="B115" s="15" t="s">
        <v>607</v>
      </c>
      <c r="C115" s="15" t="s">
        <v>424</v>
      </c>
      <c r="D115" s="29" t="n">
        <v>15</v>
      </c>
      <c r="E115" s="29" t="s">
        <v>55</v>
      </c>
      <c r="F115" s="30" t="n">
        <v>4641.64</v>
      </c>
      <c r="G115" s="31" t="n">
        <f aca="false">D115*F115</f>
        <v>69624.6</v>
      </c>
      <c r="H115" s="32" t="s">
        <v>693</v>
      </c>
    </row>
    <row r="116" customFormat="false" ht="15" hidden="false" customHeight="false" outlineLevel="0" collapsed="false">
      <c r="A116" s="28" t="s">
        <v>691</v>
      </c>
      <c r="B116" s="15" t="s">
        <v>608</v>
      </c>
      <c r="C116" s="15" t="s">
        <v>424</v>
      </c>
      <c r="D116" s="29" t="n">
        <v>6</v>
      </c>
      <c r="E116" s="29" t="s">
        <v>55</v>
      </c>
      <c r="F116" s="30" t="n">
        <v>9776.7</v>
      </c>
      <c r="G116" s="31" t="n">
        <f aca="false">D116*F116</f>
        <v>58660.2</v>
      </c>
      <c r="H116" s="32" t="s">
        <v>693</v>
      </c>
    </row>
    <row r="117" customFormat="false" ht="15" hidden="false" customHeight="false" outlineLevel="0" collapsed="false">
      <c r="A117" s="28" t="s">
        <v>691</v>
      </c>
      <c r="B117" s="15" t="s">
        <v>696</v>
      </c>
      <c r="C117" s="15" t="s">
        <v>424</v>
      </c>
      <c r="D117" s="29" t="n">
        <v>3</v>
      </c>
      <c r="E117" s="29" t="s">
        <v>55</v>
      </c>
      <c r="F117" s="30" t="n">
        <v>7997.41</v>
      </c>
      <c r="G117" s="31" t="n">
        <f aca="false">D117*F117</f>
        <v>23992.23</v>
      </c>
      <c r="H117" s="32" t="s">
        <v>693</v>
      </c>
    </row>
    <row r="118" customFormat="false" ht="23.85" hidden="false" customHeight="false" outlineLevel="0" collapsed="false">
      <c r="A118" s="28" t="s">
        <v>691</v>
      </c>
      <c r="B118" s="15" t="s">
        <v>697</v>
      </c>
      <c r="C118" s="15" t="s">
        <v>424</v>
      </c>
      <c r="D118" s="29" t="n">
        <v>145</v>
      </c>
      <c r="E118" s="29" t="s">
        <v>55</v>
      </c>
      <c r="F118" s="30" t="n">
        <v>4297.98</v>
      </c>
      <c r="G118" s="31" t="n">
        <f aca="false">D118*F118</f>
        <v>623207.1</v>
      </c>
      <c r="H118" s="32" t="s">
        <v>693</v>
      </c>
    </row>
    <row r="119" customFormat="false" ht="15" hidden="false" customHeight="false" outlineLevel="0" collapsed="false">
      <c r="A119" s="28" t="s">
        <v>691</v>
      </c>
      <c r="B119" s="15" t="s">
        <v>698</v>
      </c>
      <c r="C119" s="15" t="s">
        <v>424</v>
      </c>
      <c r="D119" s="29" t="n">
        <v>37</v>
      </c>
      <c r="E119" s="29" t="s">
        <v>55</v>
      </c>
      <c r="F119" s="30" t="n">
        <v>9433.04</v>
      </c>
      <c r="G119" s="31" t="n">
        <f aca="false">D119*F119</f>
        <v>349022.48</v>
      </c>
      <c r="H119" s="32" t="s">
        <v>693</v>
      </c>
    </row>
    <row r="120" customFormat="false" ht="23.85" hidden="false" customHeight="false" outlineLevel="0" collapsed="false">
      <c r="A120" s="28" t="s">
        <v>691</v>
      </c>
      <c r="B120" s="15" t="s">
        <v>699</v>
      </c>
      <c r="C120" s="15" t="s">
        <v>424</v>
      </c>
      <c r="D120" s="29" t="n">
        <v>1</v>
      </c>
      <c r="E120" s="29" t="s">
        <v>55</v>
      </c>
      <c r="F120" s="30" t="n">
        <v>1404.39</v>
      </c>
      <c r="G120" s="31" t="n">
        <f aca="false">D120*F120</f>
        <v>1404.39</v>
      </c>
      <c r="H120" s="32" t="s">
        <v>693</v>
      </c>
    </row>
    <row r="121" customFormat="false" ht="23.85" hidden="false" customHeight="false" outlineLevel="0" collapsed="false">
      <c r="A121" s="28" t="s">
        <v>691</v>
      </c>
      <c r="B121" s="15" t="s">
        <v>614</v>
      </c>
      <c r="C121" s="15" t="s">
        <v>615</v>
      </c>
      <c r="D121" s="29" t="n">
        <v>100</v>
      </c>
      <c r="E121" s="29" t="s">
        <v>39</v>
      </c>
      <c r="F121" s="30" t="n">
        <v>41.77</v>
      </c>
      <c r="G121" s="31" t="n">
        <f aca="false">D121*F121</f>
        <v>4177</v>
      </c>
      <c r="H121" s="32" t="s">
        <v>693</v>
      </c>
    </row>
    <row r="122" customFormat="false" ht="23.85" hidden="false" customHeight="false" outlineLevel="0" collapsed="false">
      <c r="A122" s="28" t="s">
        <v>691</v>
      </c>
      <c r="B122" s="15" t="s">
        <v>620</v>
      </c>
      <c r="C122" s="15" t="s">
        <v>621</v>
      </c>
      <c r="D122" s="29" t="n">
        <v>1135</v>
      </c>
      <c r="E122" s="29" t="s">
        <v>39</v>
      </c>
      <c r="F122" s="30" t="n">
        <v>57.28</v>
      </c>
      <c r="G122" s="31" t="n">
        <f aca="false">D122*F122</f>
        <v>65012.8</v>
      </c>
      <c r="H122" s="32" t="s">
        <v>693</v>
      </c>
    </row>
    <row r="123" customFormat="false" ht="15" hidden="false" customHeight="false" outlineLevel="0" collapsed="false">
      <c r="A123" s="28" t="s">
        <v>691</v>
      </c>
      <c r="B123" s="15" t="s">
        <v>700</v>
      </c>
      <c r="C123" s="15" t="s">
        <v>701</v>
      </c>
      <c r="D123" s="29" t="n">
        <v>1600</v>
      </c>
      <c r="E123" s="29" t="s">
        <v>39</v>
      </c>
      <c r="F123" s="30" t="n">
        <v>87.5</v>
      </c>
      <c r="G123" s="31" t="n">
        <f aca="false">D123*F123</f>
        <v>140000</v>
      </c>
      <c r="H123" s="32" t="s">
        <v>693</v>
      </c>
    </row>
    <row r="124" customFormat="false" ht="15" hidden="false" customHeight="false" outlineLevel="0" collapsed="false">
      <c r="A124" s="28" t="s">
        <v>691</v>
      </c>
      <c r="B124" s="15" t="s">
        <v>625</v>
      </c>
      <c r="C124" s="15" t="s">
        <v>617</v>
      </c>
      <c r="D124" s="29" t="n">
        <v>20</v>
      </c>
      <c r="E124" s="29" t="s">
        <v>39</v>
      </c>
      <c r="F124" s="30" t="n">
        <v>215.45</v>
      </c>
      <c r="G124" s="31" t="n">
        <f aca="false">D124*F124</f>
        <v>4309</v>
      </c>
      <c r="H124" s="32" t="s">
        <v>693</v>
      </c>
    </row>
    <row r="125" customFormat="false" ht="15" hidden="false" customHeight="false" outlineLevel="0" collapsed="false">
      <c r="A125" s="28" t="s">
        <v>691</v>
      </c>
      <c r="B125" s="15" t="s">
        <v>702</v>
      </c>
      <c r="C125" s="15" t="s">
        <v>617</v>
      </c>
      <c r="D125" s="29" t="n">
        <v>230</v>
      </c>
      <c r="E125" s="29" t="s">
        <v>39</v>
      </c>
      <c r="F125" s="30" t="n">
        <v>52.86</v>
      </c>
      <c r="G125" s="31" t="n">
        <f aca="false">D125*F125</f>
        <v>12157.8</v>
      </c>
      <c r="H125" s="32" t="s">
        <v>693</v>
      </c>
    </row>
    <row r="126" customFormat="false" ht="23.85" hidden="false" customHeight="false" outlineLevel="0" collapsed="false">
      <c r="A126" s="28" t="s">
        <v>691</v>
      </c>
      <c r="B126" s="15" t="s">
        <v>703</v>
      </c>
      <c r="C126" s="15" t="s">
        <v>617</v>
      </c>
      <c r="D126" s="29" t="n">
        <v>560</v>
      </c>
      <c r="E126" s="29" t="s">
        <v>39</v>
      </c>
      <c r="F126" s="30" t="n">
        <v>62.3</v>
      </c>
      <c r="G126" s="31" t="n">
        <f aca="false">D126*F126</f>
        <v>34888</v>
      </c>
      <c r="H126" s="32" t="s">
        <v>693</v>
      </c>
    </row>
    <row r="127" customFormat="false" ht="15" hidden="false" customHeight="false" outlineLevel="0" collapsed="false">
      <c r="A127" s="28" t="s">
        <v>691</v>
      </c>
      <c r="B127" s="15" t="s">
        <v>704</v>
      </c>
      <c r="C127" s="15" t="s">
        <v>617</v>
      </c>
      <c r="D127" s="29" t="n">
        <v>935</v>
      </c>
      <c r="E127" s="29" t="s">
        <v>39</v>
      </c>
      <c r="F127" s="30" t="n">
        <v>87.47</v>
      </c>
      <c r="G127" s="31" t="n">
        <f aca="false">D127*F127</f>
        <v>81784.45</v>
      </c>
      <c r="H127" s="32" t="s">
        <v>693</v>
      </c>
    </row>
    <row r="128" customFormat="false" ht="15" hidden="false" customHeight="false" outlineLevel="0" collapsed="false">
      <c r="A128" s="28" t="s">
        <v>691</v>
      </c>
      <c r="B128" s="15" t="s">
        <v>705</v>
      </c>
      <c r="C128" s="15" t="s">
        <v>701</v>
      </c>
      <c r="D128" s="29" t="n">
        <v>1450</v>
      </c>
      <c r="E128" s="29" t="s">
        <v>39</v>
      </c>
      <c r="F128" s="30" t="n">
        <v>75.55</v>
      </c>
      <c r="G128" s="31" t="n">
        <f aca="false">D128*F128</f>
        <v>109547.5</v>
      </c>
      <c r="H128" s="32" t="s">
        <v>693</v>
      </c>
    </row>
    <row r="129" customFormat="false" ht="15" hidden="false" customHeight="false" outlineLevel="0" collapsed="false">
      <c r="A129" s="28" t="s">
        <v>691</v>
      </c>
      <c r="B129" s="15" t="s">
        <v>706</v>
      </c>
      <c r="C129" s="15" t="s">
        <v>701</v>
      </c>
      <c r="D129" s="29" t="n">
        <v>1140</v>
      </c>
      <c r="E129" s="29" t="s">
        <v>39</v>
      </c>
      <c r="F129" s="30" t="n">
        <v>136.58</v>
      </c>
      <c r="G129" s="31" t="n">
        <f aca="false">D129*F129</f>
        <v>155701.2</v>
      </c>
      <c r="H129" s="32" t="s">
        <v>693</v>
      </c>
    </row>
    <row r="130" customFormat="false" ht="15" hidden="false" customHeight="false" outlineLevel="0" collapsed="false">
      <c r="A130" s="28" t="s">
        <v>691</v>
      </c>
      <c r="B130" s="15" t="s">
        <v>707</v>
      </c>
      <c r="C130" s="15" t="s">
        <v>708</v>
      </c>
      <c r="D130" s="29" t="n">
        <v>110</v>
      </c>
      <c r="E130" s="29" t="s">
        <v>39</v>
      </c>
      <c r="F130" s="30" t="n">
        <v>148.47</v>
      </c>
      <c r="G130" s="31" t="n">
        <f aca="false">D130*F130</f>
        <v>16331.7</v>
      </c>
      <c r="H130" s="32" t="s">
        <v>693</v>
      </c>
    </row>
    <row r="131" customFormat="false" ht="15" hidden="false" customHeight="false" outlineLevel="0" collapsed="false">
      <c r="A131" s="28" t="s">
        <v>691</v>
      </c>
      <c r="B131" s="15" t="s">
        <v>709</v>
      </c>
      <c r="C131" s="15" t="s">
        <v>687</v>
      </c>
      <c r="D131" s="29" t="n">
        <v>1000</v>
      </c>
      <c r="E131" s="29" t="s">
        <v>39</v>
      </c>
      <c r="F131" s="30" t="n">
        <v>609.51</v>
      </c>
      <c r="G131" s="31" t="n">
        <f aca="false">D131*F131</f>
        <v>609510</v>
      </c>
      <c r="H131" s="32" t="s">
        <v>693</v>
      </c>
    </row>
    <row r="132" customFormat="false" ht="15" hidden="false" customHeight="false" outlineLevel="0" collapsed="false">
      <c r="A132" s="28" t="s">
        <v>691</v>
      </c>
      <c r="B132" s="15" t="s">
        <v>710</v>
      </c>
      <c r="C132" s="15" t="s">
        <v>687</v>
      </c>
      <c r="D132" s="29" t="n">
        <v>1000</v>
      </c>
      <c r="E132" s="29" t="s">
        <v>39</v>
      </c>
      <c r="F132" s="30" t="n">
        <v>459.84</v>
      </c>
      <c r="G132" s="31" t="n">
        <f aca="false">D132*F132</f>
        <v>459840</v>
      </c>
      <c r="H132" s="32" t="s">
        <v>693</v>
      </c>
    </row>
    <row r="133" customFormat="false" ht="15" hidden="false" customHeight="false" outlineLevel="0" collapsed="false">
      <c r="A133" s="28" t="s">
        <v>691</v>
      </c>
      <c r="B133" s="15" t="s">
        <v>711</v>
      </c>
      <c r="C133" s="15" t="s">
        <v>708</v>
      </c>
      <c r="D133" s="29" t="n">
        <v>455</v>
      </c>
      <c r="E133" s="29" t="s">
        <v>39</v>
      </c>
      <c r="F133" s="30" t="n">
        <v>334.51</v>
      </c>
      <c r="G133" s="31" t="n">
        <f aca="false">D133*F133</f>
        <v>152202.05</v>
      </c>
      <c r="H133" s="32" t="s">
        <v>693</v>
      </c>
    </row>
    <row r="134" customFormat="false" ht="15" hidden="false" customHeight="false" outlineLevel="0" collapsed="false">
      <c r="A134" s="28" t="s">
        <v>691</v>
      </c>
      <c r="B134" s="15" t="s">
        <v>712</v>
      </c>
      <c r="C134" s="15" t="s">
        <v>617</v>
      </c>
      <c r="D134" s="29" t="n">
        <v>300</v>
      </c>
      <c r="E134" s="29" t="s">
        <v>39</v>
      </c>
      <c r="F134" s="30" t="n">
        <v>4950.48</v>
      </c>
      <c r="G134" s="31" t="n">
        <f aca="false">D134*F134</f>
        <v>1485144</v>
      </c>
      <c r="H134" s="32" t="s">
        <v>693</v>
      </c>
    </row>
    <row r="135" customFormat="false" ht="15" hidden="false" customHeight="false" outlineLevel="0" collapsed="false">
      <c r="A135" s="28" t="s">
        <v>691</v>
      </c>
      <c r="B135" s="15" t="s">
        <v>652</v>
      </c>
      <c r="C135" s="15" t="s">
        <v>575</v>
      </c>
      <c r="D135" s="29" t="n">
        <v>1371</v>
      </c>
      <c r="E135" s="29" t="s">
        <v>39</v>
      </c>
      <c r="F135" s="30" t="n">
        <v>285.92</v>
      </c>
      <c r="G135" s="31" t="n">
        <f aca="false">D135*F135</f>
        <v>391996.32</v>
      </c>
      <c r="H135" s="32" t="s">
        <v>693</v>
      </c>
    </row>
    <row r="136" customFormat="false" ht="15" hidden="false" customHeight="false" outlineLevel="0" collapsed="false">
      <c r="A136" s="28" t="s">
        <v>691</v>
      </c>
      <c r="B136" s="15" t="s">
        <v>713</v>
      </c>
      <c r="C136" s="15" t="s">
        <v>575</v>
      </c>
      <c r="D136" s="29" t="n">
        <v>914</v>
      </c>
      <c r="E136" s="29" t="s">
        <v>55</v>
      </c>
      <c r="F136" s="30" t="n">
        <v>426.16</v>
      </c>
      <c r="G136" s="31" t="n">
        <f aca="false">D136*F136</f>
        <v>389510.24</v>
      </c>
      <c r="H136" s="32" t="s">
        <v>693</v>
      </c>
    </row>
    <row r="137" customFormat="false" ht="15" hidden="false" customHeight="false" outlineLevel="0" collapsed="false">
      <c r="A137" s="28" t="s">
        <v>691</v>
      </c>
      <c r="B137" s="15" t="s">
        <v>714</v>
      </c>
      <c r="C137" s="15" t="s">
        <v>575</v>
      </c>
      <c r="D137" s="29" t="n">
        <v>457</v>
      </c>
      <c r="E137" s="29" t="s">
        <v>55</v>
      </c>
      <c r="F137" s="30" t="n">
        <v>226.42</v>
      </c>
      <c r="G137" s="31" t="n">
        <f aca="false">D137*F137</f>
        <v>103473.94</v>
      </c>
      <c r="H137" s="32" t="s">
        <v>693</v>
      </c>
    </row>
    <row r="138" customFormat="false" ht="23.85" hidden="false" customHeight="false" outlineLevel="0" collapsed="false">
      <c r="A138" s="28" t="s">
        <v>691</v>
      </c>
      <c r="B138" s="15" t="s">
        <v>715</v>
      </c>
      <c r="C138" s="15" t="s">
        <v>575</v>
      </c>
      <c r="D138" s="29" t="n">
        <v>2742</v>
      </c>
      <c r="E138" s="29" t="s">
        <v>55</v>
      </c>
      <c r="F138" s="30" t="n">
        <v>2.44</v>
      </c>
      <c r="G138" s="31" t="n">
        <f aca="false">D138*F138</f>
        <v>6690.48</v>
      </c>
      <c r="H138" s="32" t="s">
        <v>693</v>
      </c>
    </row>
    <row r="139" customFormat="false" ht="15" hidden="false" customHeight="false" outlineLevel="0" collapsed="false">
      <c r="A139" s="28" t="s">
        <v>691</v>
      </c>
      <c r="B139" s="15" t="s">
        <v>716</v>
      </c>
      <c r="C139" s="15" t="s">
        <v>575</v>
      </c>
      <c r="D139" s="29" t="n">
        <v>2800</v>
      </c>
      <c r="E139" s="29" t="s">
        <v>55</v>
      </c>
      <c r="F139" s="30" t="n">
        <v>3.33</v>
      </c>
      <c r="G139" s="31" t="n">
        <f aca="false">D139*F139</f>
        <v>9324</v>
      </c>
      <c r="H139" s="32" t="s">
        <v>693</v>
      </c>
    </row>
    <row r="140" customFormat="false" ht="15" hidden="false" customHeight="false" outlineLevel="0" collapsed="false">
      <c r="A140" s="28" t="s">
        <v>691</v>
      </c>
      <c r="B140" s="15" t="s">
        <v>717</v>
      </c>
      <c r="C140" s="15" t="s">
        <v>575</v>
      </c>
      <c r="D140" s="29" t="n">
        <v>700</v>
      </c>
      <c r="E140" s="29" t="s">
        <v>39</v>
      </c>
      <c r="F140" s="30" t="n">
        <v>134.72</v>
      </c>
      <c r="G140" s="31" t="n">
        <f aca="false">D140*F140</f>
        <v>94304</v>
      </c>
      <c r="H140" s="32" t="s">
        <v>693</v>
      </c>
    </row>
    <row r="141" customFormat="false" ht="15" hidden="false" customHeight="false" outlineLevel="0" collapsed="false">
      <c r="A141" s="28" t="s">
        <v>691</v>
      </c>
      <c r="B141" s="15" t="s">
        <v>718</v>
      </c>
      <c r="C141" s="15" t="s">
        <v>575</v>
      </c>
      <c r="D141" s="29" t="n">
        <v>914</v>
      </c>
      <c r="E141" s="29" t="s">
        <v>55</v>
      </c>
      <c r="F141" s="30" t="n">
        <v>21.58</v>
      </c>
      <c r="G141" s="31" t="n">
        <f aca="false">D141*F141</f>
        <v>19724.12</v>
      </c>
      <c r="H141" s="32" t="s">
        <v>693</v>
      </c>
    </row>
    <row r="142" customFormat="false" ht="15" hidden="false" customHeight="false" outlineLevel="0" collapsed="false">
      <c r="A142" s="28" t="s">
        <v>691</v>
      </c>
      <c r="B142" s="15" t="s">
        <v>719</v>
      </c>
      <c r="C142" s="15" t="s">
        <v>575</v>
      </c>
      <c r="D142" s="29" t="n">
        <v>243</v>
      </c>
      <c r="E142" s="29" t="s">
        <v>55</v>
      </c>
      <c r="F142" s="30" t="n">
        <v>568.75</v>
      </c>
      <c r="G142" s="31" t="n">
        <f aca="false">D142*F142</f>
        <v>138206.25</v>
      </c>
      <c r="H142" s="32" t="s">
        <v>693</v>
      </c>
    </row>
    <row r="143" customFormat="false" ht="15" hidden="false" customHeight="false" outlineLevel="0" collapsed="false">
      <c r="A143" s="28" t="s">
        <v>691</v>
      </c>
      <c r="B143" s="15" t="s">
        <v>720</v>
      </c>
      <c r="C143" s="15" t="s">
        <v>575</v>
      </c>
      <c r="D143" s="29" t="n">
        <v>486</v>
      </c>
      <c r="E143" s="29" t="s">
        <v>55</v>
      </c>
      <c r="F143" s="30" t="n">
        <v>5.96</v>
      </c>
      <c r="G143" s="31" t="n">
        <f aca="false">D143*F143</f>
        <v>2896.56</v>
      </c>
      <c r="H143" s="32" t="s">
        <v>693</v>
      </c>
    </row>
    <row r="144" customFormat="false" ht="23.85" hidden="false" customHeight="false" outlineLevel="0" collapsed="false">
      <c r="A144" s="28" t="s">
        <v>691</v>
      </c>
      <c r="B144" s="15" t="s">
        <v>721</v>
      </c>
      <c r="C144" s="15" t="s">
        <v>575</v>
      </c>
      <c r="D144" s="29" t="n">
        <v>486</v>
      </c>
      <c r="E144" s="29" t="s">
        <v>55</v>
      </c>
      <c r="F144" s="30" t="n">
        <v>2.81</v>
      </c>
      <c r="G144" s="31" t="n">
        <f aca="false">D144*F144</f>
        <v>1365.66</v>
      </c>
      <c r="H144" s="32" t="s">
        <v>693</v>
      </c>
    </row>
    <row r="145" customFormat="false" ht="15" hidden="false" customHeight="false" outlineLevel="0" collapsed="false">
      <c r="A145" s="28" t="s">
        <v>691</v>
      </c>
      <c r="B145" s="15" t="s">
        <v>722</v>
      </c>
      <c r="C145" s="15" t="s">
        <v>575</v>
      </c>
      <c r="D145" s="29" t="n">
        <v>486</v>
      </c>
      <c r="E145" s="29" t="s">
        <v>55</v>
      </c>
      <c r="F145" s="30" t="n">
        <v>3.75</v>
      </c>
      <c r="G145" s="31" t="n">
        <f aca="false">D145*F145</f>
        <v>1822.5</v>
      </c>
      <c r="H145" s="32" t="s">
        <v>693</v>
      </c>
    </row>
    <row r="146" customFormat="false" ht="23.85" hidden="false" customHeight="false" outlineLevel="0" collapsed="false">
      <c r="A146" s="28" t="s">
        <v>691</v>
      </c>
      <c r="B146" s="15" t="s">
        <v>723</v>
      </c>
      <c r="C146" s="15" t="s">
        <v>575</v>
      </c>
      <c r="D146" s="29" t="n">
        <v>486</v>
      </c>
      <c r="E146" s="29" t="s">
        <v>55</v>
      </c>
      <c r="F146" s="30" t="n">
        <v>12.05</v>
      </c>
      <c r="G146" s="31" t="n">
        <f aca="false">D146*F146</f>
        <v>5856.3</v>
      </c>
      <c r="H146" s="32" t="s">
        <v>693</v>
      </c>
    </row>
    <row r="147" customFormat="false" ht="23.85" hidden="false" customHeight="false" outlineLevel="0" collapsed="false">
      <c r="A147" s="28" t="s">
        <v>691</v>
      </c>
      <c r="B147" s="15" t="s">
        <v>721</v>
      </c>
      <c r="C147" s="15" t="s">
        <v>575</v>
      </c>
      <c r="D147" s="29" t="n">
        <v>486</v>
      </c>
      <c r="E147" s="29" t="s">
        <v>55</v>
      </c>
      <c r="F147" s="30" t="n">
        <v>2.81</v>
      </c>
      <c r="G147" s="31" t="n">
        <f aca="false">D147*F147</f>
        <v>1365.66</v>
      </c>
      <c r="H147" s="32" t="s">
        <v>693</v>
      </c>
    </row>
    <row r="148" customFormat="false" ht="15" hidden="false" customHeight="false" outlineLevel="0" collapsed="false">
      <c r="A148" s="28" t="s">
        <v>691</v>
      </c>
      <c r="B148" s="15" t="s">
        <v>724</v>
      </c>
      <c r="C148" s="15" t="s">
        <v>725</v>
      </c>
      <c r="D148" s="29" t="n">
        <v>220</v>
      </c>
      <c r="E148" s="29" t="s">
        <v>55</v>
      </c>
      <c r="F148" s="30" t="n">
        <v>7.33</v>
      </c>
      <c r="G148" s="31" t="n">
        <f aca="false">D148*F148</f>
        <v>1612.6</v>
      </c>
      <c r="H148" s="32" t="s">
        <v>693</v>
      </c>
    </row>
    <row r="149" customFormat="false" ht="23.85" hidden="false" customHeight="false" outlineLevel="0" collapsed="false">
      <c r="A149" s="28" t="s">
        <v>691</v>
      </c>
      <c r="B149" s="15" t="s">
        <v>641</v>
      </c>
      <c r="C149" s="15" t="s">
        <v>575</v>
      </c>
      <c r="D149" s="29" t="n">
        <v>200</v>
      </c>
      <c r="E149" s="29" t="s">
        <v>39</v>
      </c>
      <c r="F149" s="30" t="n">
        <v>14.22</v>
      </c>
      <c r="G149" s="31" t="n">
        <f aca="false">D149*F149</f>
        <v>2844</v>
      </c>
      <c r="H149" s="32" t="s">
        <v>693</v>
      </c>
    </row>
    <row r="150" customFormat="false" ht="15" hidden="false" customHeight="false" outlineLevel="0" collapsed="false">
      <c r="A150" s="28" t="s">
        <v>691</v>
      </c>
      <c r="B150" s="15" t="s">
        <v>627</v>
      </c>
      <c r="C150" s="15" t="s">
        <v>575</v>
      </c>
      <c r="D150" s="29" t="n">
        <v>1740</v>
      </c>
      <c r="E150" s="29" t="s">
        <v>39</v>
      </c>
      <c r="F150" s="30" t="n">
        <v>30.8</v>
      </c>
      <c r="G150" s="31" t="n">
        <f aca="false">D150*F150</f>
        <v>53592</v>
      </c>
      <c r="H150" s="32" t="s">
        <v>693</v>
      </c>
    </row>
    <row r="151" customFormat="false" ht="23.85" hidden="false" customHeight="false" outlineLevel="0" collapsed="false">
      <c r="A151" s="28" t="s">
        <v>691</v>
      </c>
      <c r="B151" s="15" t="s">
        <v>628</v>
      </c>
      <c r="C151" s="15" t="s">
        <v>575</v>
      </c>
      <c r="D151" s="29" t="n">
        <v>400</v>
      </c>
      <c r="E151" s="29" t="s">
        <v>55</v>
      </c>
      <c r="F151" s="30" t="n">
        <v>16.4</v>
      </c>
      <c r="G151" s="31" t="n">
        <f aca="false">D151*F151</f>
        <v>6560</v>
      </c>
      <c r="H151" s="32" t="s">
        <v>693</v>
      </c>
    </row>
    <row r="152" customFormat="false" ht="23.85" hidden="false" customHeight="false" outlineLevel="0" collapsed="false">
      <c r="A152" s="28" t="s">
        <v>691</v>
      </c>
      <c r="B152" s="15" t="s">
        <v>726</v>
      </c>
      <c r="C152" s="15" t="s">
        <v>727</v>
      </c>
      <c r="D152" s="29" t="n">
        <v>50</v>
      </c>
      <c r="E152" s="29" t="s">
        <v>39</v>
      </c>
      <c r="F152" s="30" t="n">
        <v>54.13</v>
      </c>
      <c r="G152" s="31" t="n">
        <f aca="false">D152*F152</f>
        <v>2706.5</v>
      </c>
      <c r="H152" s="32" t="s">
        <v>693</v>
      </c>
    </row>
    <row r="153" customFormat="false" ht="23.85" hidden="false" customHeight="false" outlineLevel="0" collapsed="false">
      <c r="A153" s="28" t="s">
        <v>691</v>
      </c>
      <c r="B153" s="15" t="s">
        <v>728</v>
      </c>
      <c r="C153" s="15" t="s">
        <v>727</v>
      </c>
      <c r="D153" s="29" t="n">
        <v>25</v>
      </c>
      <c r="E153" s="29" t="s">
        <v>55</v>
      </c>
      <c r="F153" s="30" t="n">
        <v>66.99</v>
      </c>
      <c r="G153" s="31" t="n">
        <f aca="false">D153*F153</f>
        <v>1674.75</v>
      </c>
      <c r="H153" s="32" t="s">
        <v>693</v>
      </c>
    </row>
    <row r="154" customFormat="false" ht="15" hidden="false" customHeight="false" outlineLevel="0" collapsed="false">
      <c r="A154" s="28" t="s">
        <v>691</v>
      </c>
      <c r="B154" s="15" t="s">
        <v>729</v>
      </c>
      <c r="C154" s="15" t="s">
        <v>612</v>
      </c>
      <c r="D154" s="29" t="n">
        <v>42</v>
      </c>
      <c r="E154" s="29" t="s">
        <v>55</v>
      </c>
      <c r="F154" s="30" t="n">
        <v>174.41</v>
      </c>
      <c r="G154" s="31" t="n">
        <f aca="false">D154*F154</f>
        <v>7325.22</v>
      </c>
      <c r="H154" s="32" t="s">
        <v>693</v>
      </c>
    </row>
    <row r="155" customFormat="false" ht="23.85" hidden="false" customHeight="false" outlineLevel="0" collapsed="false">
      <c r="A155" s="28" t="s">
        <v>691</v>
      </c>
      <c r="B155" s="15" t="s">
        <v>730</v>
      </c>
      <c r="C155" s="15" t="s">
        <v>731</v>
      </c>
      <c r="D155" s="29" t="n">
        <v>2750</v>
      </c>
      <c r="E155" s="29" t="s">
        <v>55</v>
      </c>
      <c r="F155" s="30" t="n">
        <v>1.8</v>
      </c>
      <c r="G155" s="31" t="n">
        <f aca="false">D155*F155</f>
        <v>4950</v>
      </c>
      <c r="H155" s="32" t="s">
        <v>693</v>
      </c>
    </row>
    <row r="156" customFormat="false" ht="23.85" hidden="false" customHeight="false" outlineLevel="0" collapsed="false">
      <c r="A156" s="28" t="s">
        <v>691</v>
      </c>
      <c r="B156" s="15" t="s">
        <v>732</v>
      </c>
      <c r="C156" s="15" t="s">
        <v>731</v>
      </c>
      <c r="D156" s="29" t="n">
        <v>250</v>
      </c>
      <c r="E156" s="29" t="s">
        <v>55</v>
      </c>
      <c r="F156" s="30" t="n">
        <v>1.8</v>
      </c>
      <c r="G156" s="31" t="n">
        <f aca="false">D156*F156</f>
        <v>450</v>
      </c>
      <c r="H156" s="32" t="s">
        <v>693</v>
      </c>
    </row>
    <row r="157" customFormat="false" ht="15" hidden="false" customHeight="false" outlineLevel="0" collapsed="false">
      <c r="A157" s="28" t="s">
        <v>691</v>
      </c>
      <c r="B157" s="15" t="s">
        <v>733</v>
      </c>
      <c r="C157" s="15" t="s">
        <v>725</v>
      </c>
      <c r="D157" s="29" t="n">
        <v>1354</v>
      </c>
      <c r="E157" s="29" t="s">
        <v>55</v>
      </c>
      <c r="F157" s="30" t="n">
        <v>0.24</v>
      </c>
      <c r="G157" s="31" t="n">
        <f aca="false">D157*F157</f>
        <v>324.96</v>
      </c>
      <c r="H157" s="32" t="s">
        <v>693</v>
      </c>
    </row>
    <row r="158" customFormat="false" ht="15" hidden="false" customHeight="false" outlineLevel="0" collapsed="false">
      <c r="A158" s="28" t="s">
        <v>691</v>
      </c>
      <c r="B158" s="15" t="s">
        <v>734</v>
      </c>
      <c r="C158" s="15" t="s">
        <v>725</v>
      </c>
      <c r="D158" s="29" t="n">
        <v>486</v>
      </c>
      <c r="E158" s="29" t="s">
        <v>55</v>
      </c>
      <c r="F158" s="30" t="n">
        <v>0.14</v>
      </c>
      <c r="G158" s="31" t="n">
        <f aca="false">D158*F158</f>
        <v>68.04</v>
      </c>
      <c r="H158" s="32" t="s">
        <v>693</v>
      </c>
    </row>
    <row r="159" customFormat="false" ht="23.85" hidden="false" customHeight="false" outlineLevel="0" collapsed="false">
      <c r="A159" s="28" t="s">
        <v>691</v>
      </c>
      <c r="B159" s="15" t="s">
        <v>735</v>
      </c>
      <c r="C159" s="15" t="s">
        <v>727</v>
      </c>
      <c r="D159" s="29" t="n">
        <v>30</v>
      </c>
      <c r="E159" s="29" t="s">
        <v>55</v>
      </c>
      <c r="F159" s="30" t="n">
        <v>308.56</v>
      </c>
      <c r="G159" s="31" t="n">
        <f aca="false">D159*F159</f>
        <v>9256.8</v>
      </c>
      <c r="H159" s="32" t="s">
        <v>693</v>
      </c>
    </row>
    <row r="160" customFormat="false" ht="23.85" hidden="false" customHeight="false" outlineLevel="0" collapsed="false">
      <c r="A160" s="28" t="s">
        <v>691</v>
      </c>
      <c r="B160" s="15" t="s">
        <v>736</v>
      </c>
      <c r="C160" s="15" t="s">
        <v>727</v>
      </c>
      <c r="D160" s="29" t="n">
        <v>10</v>
      </c>
      <c r="E160" s="29" t="s">
        <v>55</v>
      </c>
      <c r="F160" s="30" t="n">
        <v>147.33</v>
      </c>
      <c r="G160" s="31" t="n">
        <f aca="false">D160*F160</f>
        <v>1473.3</v>
      </c>
      <c r="H160" s="32" t="s">
        <v>693</v>
      </c>
    </row>
    <row r="161" customFormat="false" ht="23.85" hidden="false" customHeight="false" outlineLevel="0" collapsed="false">
      <c r="A161" s="28" t="s">
        <v>691</v>
      </c>
      <c r="B161" s="15" t="s">
        <v>609</v>
      </c>
      <c r="C161" s="15" t="s">
        <v>575</v>
      </c>
      <c r="D161" s="29" t="n">
        <v>617</v>
      </c>
      <c r="E161" s="29" t="s">
        <v>55</v>
      </c>
      <c r="F161" s="30" t="n">
        <v>113.56</v>
      </c>
      <c r="G161" s="31" t="n">
        <f aca="false">D161*F161</f>
        <v>70066.52</v>
      </c>
      <c r="H161" s="32" t="s">
        <v>693</v>
      </c>
    </row>
    <row r="162" customFormat="false" ht="23.85" hidden="false" customHeight="false" outlineLevel="0" collapsed="false">
      <c r="A162" s="28" t="s">
        <v>691</v>
      </c>
      <c r="B162" s="15" t="s">
        <v>737</v>
      </c>
      <c r="C162" s="15" t="s">
        <v>575</v>
      </c>
      <c r="D162" s="29" t="n">
        <v>5</v>
      </c>
      <c r="E162" s="29" t="s">
        <v>55</v>
      </c>
      <c r="F162" s="30" t="n">
        <v>5856.24</v>
      </c>
      <c r="G162" s="31" t="n">
        <f aca="false">D162*F162</f>
        <v>29281.2</v>
      </c>
      <c r="H162" s="32" t="s">
        <v>693</v>
      </c>
    </row>
    <row r="163" customFormat="false" ht="23.85" hidden="false" customHeight="false" outlineLevel="0" collapsed="false">
      <c r="A163" s="28" t="s">
        <v>691</v>
      </c>
      <c r="B163" s="15" t="s">
        <v>611</v>
      </c>
      <c r="C163" s="15" t="s">
        <v>612</v>
      </c>
      <c r="D163" s="29" t="n">
        <v>62</v>
      </c>
      <c r="E163" s="29" t="s">
        <v>55</v>
      </c>
      <c r="F163" s="30" t="n">
        <v>239.49</v>
      </c>
      <c r="G163" s="31" t="n">
        <f aca="false">D163*F163</f>
        <v>14848.38</v>
      </c>
      <c r="H163" s="32" t="s">
        <v>693</v>
      </c>
    </row>
    <row r="164" customFormat="false" ht="15" hidden="false" customHeight="false" outlineLevel="0" collapsed="false">
      <c r="A164" s="28" t="s">
        <v>691</v>
      </c>
      <c r="B164" s="15" t="s">
        <v>738</v>
      </c>
      <c r="C164" s="15" t="s">
        <v>612</v>
      </c>
      <c r="D164" s="29" t="n">
        <v>16</v>
      </c>
      <c r="E164" s="29" t="s">
        <v>55</v>
      </c>
      <c r="F164" s="30" t="n">
        <v>284.33</v>
      </c>
      <c r="G164" s="31" t="n">
        <f aca="false">D164*F164</f>
        <v>4549.28</v>
      </c>
      <c r="H164" s="32" t="s">
        <v>693</v>
      </c>
    </row>
    <row r="165" customFormat="false" ht="23.85" hidden="false" customHeight="false" outlineLevel="0" collapsed="false">
      <c r="A165" s="28" t="s">
        <v>691</v>
      </c>
      <c r="B165" s="15" t="s">
        <v>611</v>
      </c>
      <c r="C165" s="15" t="s">
        <v>612</v>
      </c>
      <c r="D165" s="29" t="n">
        <v>25</v>
      </c>
      <c r="E165" s="29" t="s">
        <v>55</v>
      </c>
      <c r="F165" s="30" t="n">
        <v>239.49</v>
      </c>
      <c r="G165" s="31" t="n">
        <f aca="false">D165*F165</f>
        <v>5987.25</v>
      </c>
      <c r="H165" s="32" t="s">
        <v>693</v>
      </c>
    </row>
    <row r="166" customFormat="false" ht="23.85" hidden="false" customHeight="false" outlineLevel="0" collapsed="false">
      <c r="A166" s="28" t="s">
        <v>691</v>
      </c>
      <c r="B166" s="15" t="s">
        <v>739</v>
      </c>
      <c r="C166" s="15" t="s">
        <v>599</v>
      </c>
      <c r="D166" s="29" t="n">
        <v>10</v>
      </c>
      <c r="E166" s="29" t="s">
        <v>55</v>
      </c>
      <c r="F166" s="30" t="n">
        <v>575.78</v>
      </c>
      <c r="G166" s="31" t="n">
        <f aca="false">D166*F166</f>
        <v>5757.8</v>
      </c>
      <c r="H166" s="32" t="s">
        <v>693</v>
      </c>
    </row>
    <row r="167" customFormat="false" ht="23.85" hidden="false" customHeight="false" outlineLevel="0" collapsed="false">
      <c r="A167" s="28" t="s">
        <v>691</v>
      </c>
      <c r="B167" s="15" t="s">
        <v>740</v>
      </c>
      <c r="C167" s="15" t="s">
        <v>612</v>
      </c>
      <c r="D167" s="29" t="n">
        <v>14</v>
      </c>
      <c r="E167" s="29" t="s">
        <v>55</v>
      </c>
      <c r="F167" s="30" t="n">
        <v>628.19</v>
      </c>
      <c r="G167" s="31" t="n">
        <f aca="false">D167*F167</f>
        <v>8794.66</v>
      </c>
      <c r="H167" s="32" t="s">
        <v>693</v>
      </c>
    </row>
    <row r="168" customFormat="false" ht="23.85" hidden="false" customHeight="false" outlineLevel="0" collapsed="false">
      <c r="A168" s="28" t="s">
        <v>691</v>
      </c>
      <c r="B168" s="15" t="s">
        <v>741</v>
      </c>
      <c r="C168" s="15" t="s">
        <v>424</v>
      </c>
      <c r="D168" s="29" t="n">
        <v>26</v>
      </c>
      <c r="E168" s="29" t="s">
        <v>55</v>
      </c>
      <c r="F168" s="30" t="n">
        <v>2799.39</v>
      </c>
      <c r="G168" s="31" t="n">
        <f aca="false">D168*F168</f>
        <v>72784.14</v>
      </c>
      <c r="H168" s="32" t="s">
        <v>693</v>
      </c>
    </row>
    <row r="169" customFormat="false" ht="15" hidden="false" customHeight="false" outlineLevel="0" collapsed="false">
      <c r="A169" s="28" t="s">
        <v>691</v>
      </c>
      <c r="B169" s="15" t="s">
        <v>742</v>
      </c>
      <c r="C169" s="15" t="s">
        <v>575</v>
      </c>
      <c r="D169" s="29" t="n">
        <v>1251</v>
      </c>
      <c r="E169" s="29" t="s">
        <v>39</v>
      </c>
      <c r="F169" s="30" t="n">
        <v>251.89</v>
      </c>
      <c r="G169" s="31" t="n">
        <f aca="false">D169*F169</f>
        <v>315114.39</v>
      </c>
      <c r="H169" s="32" t="s">
        <v>693</v>
      </c>
    </row>
    <row r="170" customFormat="false" ht="15" hidden="false" customHeight="false" outlineLevel="0" collapsed="false">
      <c r="A170" s="27" t="s">
        <v>743</v>
      </c>
      <c r="B170" s="27"/>
      <c r="C170" s="27"/>
      <c r="D170" s="27"/>
      <c r="E170" s="27"/>
      <c r="F170" s="27"/>
      <c r="G170" s="27"/>
      <c r="H170" s="27"/>
    </row>
    <row r="171" customFormat="false" ht="15" hidden="false" customHeight="false" outlineLevel="0" collapsed="false">
      <c r="A171" s="28" t="s">
        <v>744</v>
      </c>
      <c r="B171" s="15" t="s">
        <v>745</v>
      </c>
      <c r="C171" s="15" t="s">
        <v>421</v>
      </c>
      <c r="D171" s="29" t="n">
        <v>2</v>
      </c>
      <c r="E171" s="29" t="s">
        <v>55</v>
      </c>
      <c r="F171" s="30" t="n">
        <v>133691.93</v>
      </c>
      <c r="G171" s="31" t="n">
        <f aca="false">D171*F171</f>
        <v>267383.86</v>
      </c>
      <c r="H171" s="32" t="s">
        <v>746</v>
      </c>
    </row>
    <row r="172" customFormat="false" ht="15" hidden="false" customHeight="false" outlineLevel="0" collapsed="false">
      <c r="A172" s="28" t="s">
        <v>744</v>
      </c>
      <c r="B172" s="15" t="s">
        <v>745</v>
      </c>
      <c r="C172" s="15" t="s">
        <v>421</v>
      </c>
      <c r="D172" s="29" t="n">
        <v>34</v>
      </c>
      <c r="E172" s="29" t="s">
        <v>55</v>
      </c>
      <c r="F172" s="30" t="n">
        <v>143323.28</v>
      </c>
      <c r="G172" s="31" t="n">
        <f aca="false">D172*F172</f>
        <v>4872991.52</v>
      </c>
      <c r="H172" s="32" t="s">
        <v>746</v>
      </c>
    </row>
    <row r="173" customFormat="false" ht="15" hidden="false" customHeight="false" outlineLevel="0" collapsed="false">
      <c r="A173" s="28" t="s">
        <v>744</v>
      </c>
      <c r="B173" s="15" t="s">
        <v>747</v>
      </c>
      <c r="C173" s="15" t="s">
        <v>421</v>
      </c>
      <c r="D173" s="29" t="n">
        <v>1008</v>
      </c>
      <c r="E173" s="29" t="s">
        <v>55</v>
      </c>
      <c r="F173" s="30" t="n">
        <v>83.13</v>
      </c>
      <c r="G173" s="31" t="n">
        <f aca="false">D173*F173</f>
        <v>83795.04</v>
      </c>
      <c r="H173" s="32" t="s">
        <v>746</v>
      </c>
    </row>
    <row r="174" customFormat="false" ht="15" hidden="false" customHeight="false" outlineLevel="0" collapsed="false">
      <c r="A174" s="28" t="s">
        <v>744</v>
      </c>
      <c r="B174" s="15" t="s">
        <v>748</v>
      </c>
      <c r="C174" s="15" t="s">
        <v>421</v>
      </c>
      <c r="D174" s="29" t="n">
        <v>36</v>
      </c>
      <c r="E174" s="29" t="s">
        <v>55</v>
      </c>
      <c r="F174" s="30" t="n">
        <v>367.5</v>
      </c>
      <c r="G174" s="31" t="n">
        <f aca="false">D174*F174</f>
        <v>13230</v>
      </c>
      <c r="H174" s="32" t="s">
        <v>746</v>
      </c>
    </row>
    <row r="175" customFormat="false" ht="15" hidden="false" customHeight="false" outlineLevel="0" collapsed="false">
      <c r="A175" s="28" t="s">
        <v>744</v>
      </c>
      <c r="B175" s="15" t="s">
        <v>749</v>
      </c>
      <c r="C175" s="15" t="s">
        <v>575</v>
      </c>
      <c r="D175" s="29" t="n">
        <v>9036</v>
      </c>
      <c r="E175" s="29" t="s">
        <v>39</v>
      </c>
      <c r="F175" s="30" t="n">
        <v>39.12</v>
      </c>
      <c r="G175" s="31" t="n">
        <f aca="false">D175*F175</f>
        <v>353488.32</v>
      </c>
      <c r="H175" s="32" t="s">
        <v>746</v>
      </c>
    </row>
    <row r="176" customFormat="false" ht="15" hidden="false" customHeight="false" outlineLevel="0" collapsed="false">
      <c r="A176" s="28" t="s">
        <v>744</v>
      </c>
      <c r="B176" s="15" t="s">
        <v>750</v>
      </c>
      <c r="C176" s="15" t="s">
        <v>575</v>
      </c>
      <c r="D176" s="29" t="n">
        <v>8600</v>
      </c>
      <c r="E176" s="29" t="s">
        <v>39</v>
      </c>
      <c r="F176" s="30" t="n">
        <v>32.16</v>
      </c>
      <c r="G176" s="31" t="n">
        <f aca="false">D176*F176</f>
        <v>276576</v>
      </c>
      <c r="H176" s="32" t="s">
        <v>746</v>
      </c>
    </row>
    <row r="177" customFormat="false" ht="15" hidden="false" customHeight="false" outlineLevel="0" collapsed="false">
      <c r="A177" s="28" t="s">
        <v>744</v>
      </c>
      <c r="B177" s="15" t="s">
        <v>751</v>
      </c>
      <c r="C177" s="15" t="s">
        <v>575</v>
      </c>
      <c r="D177" s="29" t="n">
        <v>850</v>
      </c>
      <c r="E177" s="29" t="s">
        <v>55</v>
      </c>
      <c r="F177" s="30" t="n">
        <v>9.37</v>
      </c>
      <c r="G177" s="31" t="n">
        <f aca="false">D177*F177</f>
        <v>7964.5</v>
      </c>
      <c r="H177" s="32" t="s">
        <v>746</v>
      </c>
    </row>
    <row r="178" customFormat="false" ht="15" hidden="false" customHeight="false" outlineLevel="0" collapsed="false">
      <c r="A178" s="28" t="s">
        <v>744</v>
      </c>
      <c r="B178" s="15" t="s">
        <v>752</v>
      </c>
      <c r="C178" s="15" t="s">
        <v>575</v>
      </c>
      <c r="D178" s="29" t="n">
        <v>1700</v>
      </c>
      <c r="E178" s="29" t="s">
        <v>55</v>
      </c>
      <c r="F178" s="30" t="n">
        <v>9.98</v>
      </c>
      <c r="G178" s="31" t="n">
        <f aca="false">D178*F178</f>
        <v>16966</v>
      </c>
      <c r="H178" s="32" t="s">
        <v>746</v>
      </c>
    </row>
    <row r="179" customFormat="false" ht="15" hidden="false" customHeight="false" outlineLevel="0" collapsed="false">
      <c r="A179" s="28" t="s">
        <v>744</v>
      </c>
      <c r="B179" s="15" t="s">
        <v>753</v>
      </c>
      <c r="C179" s="15" t="s">
        <v>725</v>
      </c>
      <c r="D179" s="29" t="n">
        <v>850</v>
      </c>
      <c r="E179" s="29" t="s">
        <v>55</v>
      </c>
      <c r="F179" s="30" t="n">
        <v>34.62</v>
      </c>
      <c r="G179" s="31" t="n">
        <f aca="false">D179*F179</f>
        <v>29427</v>
      </c>
      <c r="H179" s="32" t="s">
        <v>746</v>
      </c>
    </row>
    <row r="180" customFormat="false" ht="15" hidden="false" customHeight="false" outlineLevel="0" collapsed="false">
      <c r="A180" s="28" t="s">
        <v>744</v>
      </c>
      <c r="B180" s="15" t="s">
        <v>754</v>
      </c>
      <c r="C180" s="15" t="s">
        <v>575</v>
      </c>
      <c r="D180" s="29" t="n">
        <v>850</v>
      </c>
      <c r="E180" s="29" t="s">
        <v>55</v>
      </c>
      <c r="F180" s="30" t="n">
        <v>82.11</v>
      </c>
      <c r="G180" s="31" t="n">
        <f aca="false">D180*F180</f>
        <v>69793.5</v>
      </c>
      <c r="H180" s="32" t="s">
        <v>746</v>
      </c>
    </row>
    <row r="181" customFormat="false" ht="15" hidden="false" customHeight="false" outlineLevel="0" collapsed="false">
      <c r="A181" s="28" t="s">
        <v>744</v>
      </c>
      <c r="B181" s="15" t="s">
        <v>755</v>
      </c>
      <c r="C181" s="15" t="s">
        <v>575</v>
      </c>
      <c r="D181" s="29" t="n">
        <v>850</v>
      </c>
      <c r="E181" s="29" t="s">
        <v>55</v>
      </c>
      <c r="F181" s="30" t="n">
        <v>6.44</v>
      </c>
      <c r="G181" s="31" t="n">
        <f aca="false">D181*F181</f>
        <v>5474</v>
      </c>
      <c r="H181" s="32" t="s">
        <v>746</v>
      </c>
    </row>
    <row r="182" customFormat="false" ht="15" hidden="false" customHeight="false" outlineLevel="0" collapsed="false">
      <c r="A182" s="28" t="s">
        <v>744</v>
      </c>
      <c r="B182" s="15" t="s">
        <v>756</v>
      </c>
      <c r="C182" s="15" t="s">
        <v>575</v>
      </c>
      <c r="D182" s="29" t="n">
        <v>3012</v>
      </c>
      <c r="E182" s="29" t="s">
        <v>55</v>
      </c>
      <c r="F182" s="30" t="n">
        <v>56.8</v>
      </c>
      <c r="G182" s="31" t="n">
        <f aca="false">D182*F182</f>
        <v>171081.6</v>
      </c>
      <c r="H182" s="32" t="s">
        <v>746</v>
      </c>
    </row>
    <row r="183" customFormat="false" ht="15" hidden="false" customHeight="false" outlineLevel="0" collapsed="false">
      <c r="A183" s="28" t="s">
        <v>744</v>
      </c>
      <c r="B183" s="15" t="s">
        <v>757</v>
      </c>
      <c r="C183" s="15" t="s">
        <v>575</v>
      </c>
      <c r="D183" s="29" t="n">
        <v>252</v>
      </c>
      <c r="E183" s="29" t="s">
        <v>55</v>
      </c>
      <c r="F183" s="30" t="n">
        <v>148.61</v>
      </c>
      <c r="G183" s="31" t="n">
        <f aca="false">D183*F183</f>
        <v>37449.72</v>
      </c>
      <c r="H183" s="32" t="s">
        <v>746</v>
      </c>
    </row>
    <row r="184" customFormat="false" ht="15" hidden="false" customHeight="false" outlineLevel="0" collapsed="false">
      <c r="A184" s="28" t="s">
        <v>744</v>
      </c>
      <c r="B184" s="15" t="s">
        <v>758</v>
      </c>
      <c r="C184" s="15" t="s">
        <v>575</v>
      </c>
      <c r="D184" s="29" t="n">
        <v>850</v>
      </c>
      <c r="E184" s="29" t="s">
        <v>55</v>
      </c>
      <c r="F184" s="30" t="n">
        <v>5.24</v>
      </c>
      <c r="G184" s="31" t="n">
        <f aca="false">D184*F184</f>
        <v>4454</v>
      </c>
      <c r="H184" s="32" t="s">
        <v>746</v>
      </c>
    </row>
    <row r="185" customFormat="false" ht="15" hidden="false" customHeight="false" outlineLevel="0" collapsed="false">
      <c r="A185" s="28" t="s">
        <v>744</v>
      </c>
      <c r="B185" s="15" t="s">
        <v>759</v>
      </c>
      <c r="C185" s="15" t="s">
        <v>760</v>
      </c>
      <c r="D185" s="29" t="n">
        <v>11</v>
      </c>
      <c r="E185" s="29" t="s">
        <v>55</v>
      </c>
      <c r="F185" s="30" t="n">
        <v>584.39</v>
      </c>
      <c r="G185" s="31" t="n">
        <f aca="false">D185*F185</f>
        <v>6428.29</v>
      </c>
      <c r="H185" s="32" t="s">
        <v>746</v>
      </c>
    </row>
    <row r="186" customFormat="false" ht="15" hidden="false" customHeight="false" outlineLevel="0" collapsed="false">
      <c r="A186" s="28" t="s">
        <v>744</v>
      </c>
      <c r="B186" s="15" t="s">
        <v>761</v>
      </c>
      <c r="C186" s="15" t="s">
        <v>760</v>
      </c>
      <c r="D186" s="29" t="n">
        <v>51</v>
      </c>
      <c r="E186" s="29" t="s">
        <v>55</v>
      </c>
      <c r="F186" s="30" t="n">
        <v>240.12</v>
      </c>
      <c r="G186" s="31" t="n">
        <f aca="false">D186*F186</f>
        <v>12246.12</v>
      </c>
      <c r="H186" s="32" t="s">
        <v>746</v>
      </c>
    </row>
    <row r="187" customFormat="false" ht="23.85" hidden="false" customHeight="false" outlineLevel="0" collapsed="false">
      <c r="A187" s="28" t="s">
        <v>744</v>
      </c>
      <c r="B187" s="15" t="s">
        <v>762</v>
      </c>
      <c r="C187" s="15" t="s">
        <v>760</v>
      </c>
      <c r="D187" s="29" t="n">
        <v>64</v>
      </c>
      <c r="E187" s="29" t="s">
        <v>55</v>
      </c>
      <c r="F187" s="30" t="n">
        <v>240.12</v>
      </c>
      <c r="G187" s="31" t="n">
        <f aca="false">D187*F187</f>
        <v>15367.68</v>
      </c>
      <c r="H187" s="32" t="s">
        <v>746</v>
      </c>
    </row>
    <row r="188" customFormat="false" ht="23.85" hidden="false" customHeight="false" outlineLevel="0" collapsed="false">
      <c r="A188" s="28" t="s">
        <v>744</v>
      </c>
      <c r="B188" s="15" t="s">
        <v>763</v>
      </c>
      <c r="C188" s="15" t="s">
        <v>760</v>
      </c>
      <c r="D188" s="29" t="n">
        <v>54</v>
      </c>
      <c r="E188" s="29" t="s">
        <v>55</v>
      </c>
      <c r="F188" s="30" t="n">
        <v>240.12</v>
      </c>
      <c r="G188" s="31" t="n">
        <f aca="false">D188*F188</f>
        <v>12966.48</v>
      </c>
      <c r="H188" s="32" t="s">
        <v>746</v>
      </c>
    </row>
    <row r="189" customFormat="false" ht="15" hidden="false" customHeight="false" outlineLevel="0" collapsed="false">
      <c r="A189" s="28" t="s">
        <v>744</v>
      </c>
      <c r="B189" s="15" t="s">
        <v>764</v>
      </c>
      <c r="C189" s="15" t="s">
        <v>765</v>
      </c>
      <c r="D189" s="29" t="n">
        <v>973</v>
      </c>
      <c r="E189" s="29" t="s">
        <v>39</v>
      </c>
      <c r="F189" s="30" t="n">
        <v>75.72</v>
      </c>
      <c r="G189" s="31" t="n">
        <f aca="false">D189*F189</f>
        <v>73675.56</v>
      </c>
      <c r="H189" s="32" t="s">
        <v>746</v>
      </c>
    </row>
    <row r="190" customFormat="false" ht="15" hidden="false" customHeight="false" outlineLevel="0" collapsed="false">
      <c r="A190" s="28" t="s">
        <v>744</v>
      </c>
      <c r="B190" s="15" t="s">
        <v>766</v>
      </c>
      <c r="C190" s="15" t="s">
        <v>765</v>
      </c>
      <c r="D190" s="29" t="n">
        <v>5800</v>
      </c>
      <c r="E190" s="29" t="s">
        <v>39</v>
      </c>
      <c r="F190" s="30" t="n">
        <v>54.46</v>
      </c>
      <c r="G190" s="31" t="n">
        <f aca="false">D190*F190</f>
        <v>315868</v>
      </c>
      <c r="H190" s="32" t="s">
        <v>746</v>
      </c>
    </row>
    <row r="191" customFormat="false" ht="15" hidden="false" customHeight="false" outlineLevel="0" collapsed="false">
      <c r="A191" s="28" t="s">
        <v>744</v>
      </c>
      <c r="B191" s="15" t="s">
        <v>767</v>
      </c>
      <c r="C191" s="15" t="s">
        <v>765</v>
      </c>
      <c r="D191" s="29" t="n">
        <v>1000</v>
      </c>
      <c r="E191" s="29" t="s">
        <v>39</v>
      </c>
      <c r="F191" s="30" t="n">
        <v>66.24</v>
      </c>
      <c r="G191" s="31" t="n">
        <f aca="false">D191*F191</f>
        <v>66240</v>
      </c>
      <c r="H191" s="32" t="s">
        <v>746</v>
      </c>
    </row>
    <row r="192" customFormat="false" ht="15" hidden="false" customHeight="false" outlineLevel="0" collapsed="false">
      <c r="A192" s="28" t="s">
        <v>744</v>
      </c>
      <c r="B192" s="15" t="s">
        <v>768</v>
      </c>
      <c r="C192" s="15" t="s">
        <v>765</v>
      </c>
      <c r="D192" s="29" t="n">
        <v>14600</v>
      </c>
      <c r="E192" s="29" t="s">
        <v>39</v>
      </c>
      <c r="F192" s="30" t="n">
        <v>34.06</v>
      </c>
      <c r="G192" s="31" t="n">
        <f aca="false">D192*F192</f>
        <v>497276</v>
      </c>
      <c r="H192" s="32" t="s">
        <v>746</v>
      </c>
    </row>
    <row r="193" customFormat="false" ht="15" hidden="false" customHeight="false" outlineLevel="0" collapsed="false">
      <c r="A193" s="28" t="s">
        <v>744</v>
      </c>
      <c r="B193" s="15" t="s">
        <v>769</v>
      </c>
      <c r="C193" s="15" t="s">
        <v>575</v>
      </c>
      <c r="D193" s="29" t="n">
        <v>18</v>
      </c>
      <c r="E193" s="29" t="s">
        <v>55</v>
      </c>
      <c r="F193" s="30" t="n">
        <v>16608.38</v>
      </c>
      <c r="G193" s="31" t="n">
        <f aca="false">D193*F193</f>
        <v>298950.84</v>
      </c>
      <c r="H193" s="32" t="s">
        <v>746</v>
      </c>
    </row>
    <row r="194" customFormat="false" ht="15" hidden="false" customHeight="false" outlineLevel="0" collapsed="false">
      <c r="A194" s="28" t="s">
        <v>744</v>
      </c>
      <c r="B194" s="15" t="s">
        <v>770</v>
      </c>
      <c r="C194" s="15" t="s">
        <v>771</v>
      </c>
      <c r="D194" s="29" t="n">
        <v>179</v>
      </c>
      <c r="E194" s="29" t="s">
        <v>55</v>
      </c>
      <c r="F194" s="30" t="n">
        <v>282.99</v>
      </c>
      <c r="G194" s="31" t="n">
        <f aca="false">D194*F194</f>
        <v>50655.21</v>
      </c>
      <c r="H194" s="32" t="s">
        <v>746</v>
      </c>
    </row>
    <row r="195" customFormat="false" ht="15" hidden="false" customHeight="false" outlineLevel="0" collapsed="false">
      <c r="A195" s="28" t="s">
        <v>744</v>
      </c>
      <c r="B195" s="15" t="s">
        <v>772</v>
      </c>
      <c r="C195" s="15" t="s">
        <v>575</v>
      </c>
      <c r="D195" s="29" t="n">
        <v>724</v>
      </c>
      <c r="E195" s="29" t="s">
        <v>39</v>
      </c>
      <c r="F195" s="30" t="n">
        <v>285.92</v>
      </c>
      <c r="G195" s="31" t="n">
        <f aca="false">D195*F195</f>
        <v>207006.08</v>
      </c>
      <c r="H195" s="32" t="s">
        <v>746</v>
      </c>
    </row>
    <row r="196" customFormat="false" ht="15" hidden="false" customHeight="false" outlineLevel="0" collapsed="false">
      <c r="A196" s="28" t="s">
        <v>744</v>
      </c>
      <c r="B196" s="15" t="s">
        <v>773</v>
      </c>
      <c r="C196" s="15" t="s">
        <v>575</v>
      </c>
      <c r="D196" s="29" t="n">
        <v>724</v>
      </c>
      <c r="E196" s="29" t="s">
        <v>55</v>
      </c>
      <c r="F196" s="30" t="n">
        <v>589.04</v>
      </c>
      <c r="G196" s="31" t="n">
        <f aca="false">D196*F196</f>
        <v>426464.96</v>
      </c>
      <c r="H196" s="32" t="s">
        <v>746</v>
      </c>
    </row>
    <row r="197" customFormat="false" ht="15" hidden="false" customHeight="false" outlineLevel="0" collapsed="false">
      <c r="A197" s="28" t="s">
        <v>744</v>
      </c>
      <c r="B197" s="15" t="s">
        <v>774</v>
      </c>
      <c r="C197" s="15" t="s">
        <v>575</v>
      </c>
      <c r="D197" s="29" t="n">
        <v>1448</v>
      </c>
      <c r="E197" s="29" t="s">
        <v>55</v>
      </c>
      <c r="F197" s="30" t="n">
        <v>70.2</v>
      </c>
      <c r="G197" s="31" t="n">
        <f aca="false">D197*F197</f>
        <v>101649.6</v>
      </c>
      <c r="H197" s="32" t="s">
        <v>746</v>
      </c>
    </row>
    <row r="198" customFormat="false" ht="15" hidden="false" customHeight="false" outlineLevel="0" collapsed="false">
      <c r="A198" s="28" t="s">
        <v>744</v>
      </c>
      <c r="B198" s="15" t="s">
        <v>775</v>
      </c>
      <c r="C198" s="15" t="s">
        <v>575</v>
      </c>
      <c r="D198" s="29" t="n">
        <v>1448</v>
      </c>
      <c r="E198" s="29" t="s">
        <v>55</v>
      </c>
      <c r="F198" s="30" t="n">
        <v>4.28</v>
      </c>
      <c r="G198" s="31" t="n">
        <f aca="false">D198*F198</f>
        <v>6197.44</v>
      </c>
      <c r="H198" s="32" t="s">
        <v>746</v>
      </c>
    </row>
    <row r="199" customFormat="false" ht="23.85" hidden="false" customHeight="false" outlineLevel="0" collapsed="false">
      <c r="A199" s="28" t="s">
        <v>744</v>
      </c>
      <c r="B199" s="15" t="s">
        <v>721</v>
      </c>
      <c r="C199" s="15" t="s">
        <v>575</v>
      </c>
      <c r="D199" s="29" t="n">
        <v>1448</v>
      </c>
      <c r="E199" s="29" t="s">
        <v>55</v>
      </c>
      <c r="F199" s="30" t="n">
        <v>2.81</v>
      </c>
      <c r="G199" s="31" t="n">
        <f aca="false">D199*F199</f>
        <v>4068.88</v>
      </c>
      <c r="H199" s="32" t="s">
        <v>746</v>
      </c>
    </row>
    <row r="200" customFormat="false" ht="15" hidden="false" customHeight="false" outlineLevel="0" collapsed="false">
      <c r="A200" s="28" t="s">
        <v>744</v>
      </c>
      <c r="B200" s="15" t="s">
        <v>776</v>
      </c>
      <c r="C200" s="15" t="s">
        <v>575</v>
      </c>
      <c r="D200" s="29" t="n">
        <v>1448</v>
      </c>
      <c r="E200" s="29" t="s">
        <v>55</v>
      </c>
      <c r="F200" s="30" t="n">
        <v>0.9</v>
      </c>
      <c r="G200" s="31" t="n">
        <f aca="false">D200*F200</f>
        <v>1303.2</v>
      </c>
      <c r="H200" s="32" t="s">
        <v>746</v>
      </c>
    </row>
    <row r="201" customFormat="false" ht="23.85" hidden="false" customHeight="false" outlineLevel="0" collapsed="false">
      <c r="A201" s="28" t="s">
        <v>744</v>
      </c>
      <c r="B201" s="15" t="s">
        <v>777</v>
      </c>
      <c r="C201" s="15" t="s">
        <v>575</v>
      </c>
      <c r="D201" s="29" t="n">
        <v>205</v>
      </c>
      <c r="E201" s="29" t="s">
        <v>778</v>
      </c>
      <c r="F201" s="30" t="n">
        <v>1564.34</v>
      </c>
      <c r="G201" s="31" t="n">
        <f aca="false">D201*F201</f>
        <v>320689.7</v>
      </c>
      <c r="H201" s="32" t="s">
        <v>746</v>
      </c>
    </row>
    <row r="202" customFormat="false" ht="23.85" hidden="false" customHeight="false" outlineLevel="0" collapsed="false">
      <c r="A202" s="28" t="s">
        <v>744</v>
      </c>
      <c r="B202" s="15" t="s">
        <v>779</v>
      </c>
      <c r="C202" s="15" t="s">
        <v>575</v>
      </c>
      <c r="D202" s="29" t="n">
        <v>205</v>
      </c>
      <c r="E202" s="29" t="s">
        <v>55</v>
      </c>
      <c r="F202" s="30" t="n">
        <v>673.19</v>
      </c>
      <c r="G202" s="31" t="n">
        <f aca="false">D202*F202</f>
        <v>138003.95</v>
      </c>
      <c r="H202" s="32" t="s">
        <v>746</v>
      </c>
    </row>
    <row r="203" customFormat="false" ht="15" hidden="false" customHeight="false" outlineLevel="0" collapsed="false">
      <c r="A203" s="28" t="s">
        <v>744</v>
      </c>
      <c r="B203" s="15" t="s">
        <v>780</v>
      </c>
      <c r="C203" s="15" t="s">
        <v>575</v>
      </c>
      <c r="D203" s="29" t="n">
        <v>724</v>
      </c>
      <c r="E203" s="29" t="s">
        <v>39</v>
      </c>
      <c r="F203" s="30" t="n">
        <v>149.67</v>
      </c>
      <c r="G203" s="31" t="n">
        <f aca="false">D203*F203</f>
        <v>108361.08</v>
      </c>
      <c r="H203" s="32" t="s">
        <v>746</v>
      </c>
    </row>
    <row r="204" customFormat="false" ht="15" hidden="false" customHeight="false" outlineLevel="0" collapsed="false">
      <c r="A204" s="28" t="s">
        <v>744</v>
      </c>
      <c r="B204" s="15" t="s">
        <v>781</v>
      </c>
      <c r="C204" s="15" t="s">
        <v>575</v>
      </c>
      <c r="D204" s="29" t="n">
        <v>362</v>
      </c>
      <c r="E204" s="29" t="s">
        <v>39</v>
      </c>
      <c r="F204" s="30" t="n">
        <v>196.02</v>
      </c>
      <c r="G204" s="31" t="n">
        <f aca="false">D204*F204</f>
        <v>70959.24</v>
      </c>
      <c r="H204" s="32" t="s">
        <v>746</v>
      </c>
    </row>
    <row r="205" customFormat="false" ht="15" hidden="false" customHeight="false" outlineLevel="0" collapsed="false">
      <c r="A205" s="28" t="s">
        <v>744</v>
      </c>
      <c r="B205" s="15" t="s">
        <v>772</v>
      </c>
      <c r="C205" s="15" t="s">
        <v>575</v>
      </c>
      <c r="D205" s="29" t="n">
        <v>330</v>
      </c>
      <c r="E205" s="29" t="s">
        <v>39</v>
      </c>
      <c r="F205" s="30" t="n">
        <v>285.92</v>
      </c>
      <c r="G205" s="31" t="n">
        <f aca="false">D205*F205</f>
        <v>94353.6</v>
      </c>
      <c r="H205" s="32" t="s">
        <v>746</v>
      </c>
    </row>
    <row r="206" customFormat="false" ht="15" hidden="false" customHeight="false" outlineLevel="0" collapsed="false">
      <c r="A206" s="28" t="s">
        <v>744</v>
      </c>
      <c r="B206" s="15" t="s">
        <v>782</v>
      </c>
      <c r="C206" s="15" t="s">
        <v>575</v>
      </c>
      <c r="D206" s="29" t="n">
        <v>330</v>
      </c>
      <c r="E206" s="29" t="s">
        <v>55</v>
      </c>
      <c r="F206" s="30" t="n">
        <v>161.65</v>
      </c>
      <c r="G206" s="31" t="n">
        <f aca="false">D206*F206</f>
        <v>53344.5</v>
      </c>
      <c r="H206" s="32" t="s">
        <v>746</v>
      </c>
    </row>
    <row r="207" customFormat="false" ht="15" hidden="false" customHeight="false" outlineLevel="0" collapsed="false">
      <c r="A207" s="28" t="s">
        <v>744</v>
      </c>
      <c r="B207" s="15" t="s">
        <v>783</v>
      </c>
      <c r="C207" s="15" t="s">
        <v>575</v>
      </c>
      <c r="D207" s="29" t="n">
        <v>660</v>
      </c>
      <c r="E207" s="29" t="s">
        <v>55</v>
      </c>
      <c r="F207" s="30" t="n">
        <v>137.26</v>
      </c>
      <c r="G207" s="31" t="n">
        <f aca="false">D207*F207</f>
        <v>90591.6</v>
      </c>
      <c r="H207" s="32" t="s">
        <v>746</v>
      </c>
    </row>
    <row r="208" customFormat="false" ht="15" hidden="false" customHeight="false" outlineLevel="0" collapsed="false">
      <c r="A208" s="28" t="s">
        <v>744</v>
      </c>
      <c r="B208" s="15" t="s">
        <v>784</v>
      </c>
      <c r="C208" s="15" t="s">
        <v>575</v>
      </c>
      <c r="D208" s="29" t="n">
        <v>660</v>
      </c>
      <c r="E208" s="29" t="s">
        <v>55</v>
      </c>
      <c r="F208" s="30" t="n">
        <v>15.39</v>
      </c>
      <c r="G208" s="31" t="n">
        <f aca="false">D208*F208</f>
        <v>10157.4</v>
      </c>
      <c r="H208" s="32" t="s">
        <v>746</v>
      </c>
    </row>
    <row r="209" customFormat="false" ht="15" hidden="false" customHeight="false" outlineLevel="0" collapsed="false">
      <c r="A209" s="28" t="s">
        <v>744</v>
      </c>
      <c r="B209" s="15" t="s">
        <v>714</v>
      </c>
      <c r="C209" s="15" t="s">
        <v>575</v>
      </c>
      <c r="D209" s="29" t="n">
        <v>660</v>
      </c>
      <c r="E209" s="29" t="s">
        <v>39</v>
      </c>
      <c r="F209" s="30" t="n">
        <v>113.21</v>
      </c>
      <c r="G209" s="31" t="n">
        <f aca="false">D209*F209</f>
        <v>74718.6</v>
      </c>
      <c r="H209" s="32" t="s">
        <v>746</v>
      </c>
    </row>
    <row r="210" customFormat="false" ht="23.85" hidden="false" customHeight="false" outlineLevel="0" collapsed="false">
      <c r="A210" s="28" t="s">
        <v>744</v>
      </c>
      <c r="B210" s="15" t="s">
        <v>649</v>
      </c>
      <c r="C210" s="15" t="s">
        <v>575</v>
      </c>
      <c r="D210" s="29" t="n">
        <v>3960</v>
      </c>
      <c r="E210" s="29" t="s">
        <v>55</v>
      </c>
      <c r="F210" s="30" t="n">
        <v>3.58</v>
      </c>
      <c r="G210" s="31" t="n">
        <f aca="false">D210*F210</f>
        <v>14176.8</v>
      </c>
      <c r="H210" s="32" t="s">
        <v>746</v>
      </c>
    </row>
    <row r="211" customFormat="false" ht="15" hidden="false" customHeight="false" outlineLevel="0" collapsed="false">
      <c r="A211" s="28" t="s">
        <v>744</v>
      </c>
      <c r="B211" s="15" t="s">
        <v>775</v>
      </c>
      <c r="C211" s="15" t="s">
        <v>575</v>
      </c>
      <c r="D211" s="29" t="n">
        <v>660</v>
      </c>
      <c r="E211" s="29" t="s">
        <v>55</v>
      </c>
      <c r="F211" s="30" t="n">
        <v>4.28</v>
      </c>
      <c r="G211" s="31" t="n">
        <f aca="false">D211*F211</f>
        <v>2824.8</v>
      </c>
      <c r="H211" s="32" t="s">
        <v>746</v>
      </c>
    </row>
    <row r="212" customFormat="false" ht="23.85" hidden="false" customHeight="false" outlineLevel="0" collapsed="false">
      <c r="A212" s="28" t="s">
        <v>744</v>
      </c>
      <c r="B212" s="15" t="s">
        <v>721</v>
      </c>
      <c r="C212" s="15" t="s">
        <v>575</v>
      </c>
      <c r="D212" s="29" t="n">
        <v>660</v>
      </c>
      <c r="E212" s="29" t="s">
        <v>55</v>
      </c>
      <c r="F212" s="30" t="n">
        <v>2.81</v>
      </c>
      <c r="G212" s="31" t="n">
        <f aca="false">D212*F212</f>
        <v>1854.6</v>
      </c>
      <c r="H212" s="32" t="s">
        <v>746</v>
      </c>
    </row>
    <row r="213" customFormat="false" ht="15" hidden="false" customHeight="false" outlineLevel="0" collapsed="false">
      <c r="A213" s="28" t="s">
        <v>744</v>
      </c>
      <c r="B213" s="15" t="s">
        <v>776</v>
      </c>
      <c r="C213" s="15" t="s">
        <v>575</v>
      </c>
      <c r="D213" s="29" t="n">
        <v>660</v>
      </c>
      <c r="E213" s="29" t="s">
        <v>55</v>
      </c>
      <c r="F213" s="30" t="n">
        <v>0.9</v>
      </c>
      <c r="G213" s="31" t="n">
        <f aca="false">D213*F213</f>
        <v>594</v>
      </c>
      <c r="H213" s="32" t="s">
        <v>746</v>
      </c>
    </row>
    <row r="214" customFormat="false" ht="15" hidden="false" customHeight="false" outlineLevel="0" collapsed="false">
      <c r="A214" s="28" t="s">
        <v>744</v>
      </c>
      <c r="B214" s="15" t="s">
        <v>780</v>
      </c>
      <c r="C214" s="15" t="s">
        <v>575</v>
      </c>
      <c r="D214" s="29" t="n">
        <v>330</v>
      </c>
      <c r="E214" s="29" t="s">
        <v>39</v>
      </c>
      <c r="F214" s="30" t="n">
        <v>149.67</v>
      </c>
      <c r="G214" s="31" t="n">
        <f aca="false">D214*F214</f>
        <v>49391.1</v>
      </c>
      <c r="H214" s="32" t="s">
        <v>746</v>
      </c>
    </row>
    <row r="215" customFormat="false" ht="15" hidden="false" customHeight="false" outlineLevel="0" collapsed="false">
      <c r="A215" s="28" t="s">
        <v>744</v>
      </c>
      <c r="B215" s="15" t="s">
        <v>781</v>
      </c>
      <c r="C215" s="15" t="s">
        <v>575</v>
      </c>
      <c r="D215" s="29" t="n">
        <v>166</v>
      </c>
      <c r="E215" s="29" t="s">
        <v>39</v>
      </c>
      <c r="F215" s="30" t="n">
        <v>196.02</v>
      </c>
      <c r="G215" s="31" t="n">
        <f aca="false">D215*F215</f>
        <v>32539.32</v>
      </c>
      <c r="H215" s="32" t="s">
        <v>746</v>
      </c>
    </row>
    <row r="216" customFormat="false" ht="15" hidden="false" customHeight="false" outlineLevel="0" collapsed="false">
      <c r="A216" s="28" t="s">
        <v>744</v>
      </c>
      <c r="B216" s="15" t="s">
        <v>772</v>
      </c>
      <c r="C216" s="15" t="s">
        <v>575</v>
      </c>
      <c r="D216" s="29" t="n">
        <v>20</v>
      </c>
      <c r="E216" s="29" t="s">
        <v>39</v>
      </c>
      <c r="F216" s="30" t="n">
        <v>285.92</v>
      </c>
      <c r="G216" s="31" t="n">
        <f aca="false">D216*F216</f>
        <v>5718.4</v>
      </c>
      <c r="H216" s="32" t="s">
        <v>746</v>
      </c>
    </row>
    <row r="217" customFormat="false" ht="15" hidden="false" customHeight="false" outlineLevel="0" collapsed="false">
      <c r="A217" s="28" t="s">
        <v>744</v>
      </c>
      <c r="B217" s="15" t="s">
        <v>782</v>
      </c>
      <c r="C217" s="15" t="s">
        <v>575</v>
      </c>
      <c r="D217" s="29" t="n">
        <v>20</v>
      </c>
      <c r="E217" s="29" t="s">
        <v>55</v>
      </c>
      <c r="F217" s="30" t="n">
        <v>161.65</v>
      </c>
      <c r="G217" s="31" t="n">
        <f aca="false">D217*F217</f>
        <v>3233</v>
      </c>
      <c r="H217" s="32" t="s">
        <v>746</v>
      </c>
    </row>
    <row r="218" customFormat="false" ht="15" hidden="false" customHeight="false" outlineLevel="0" collapsed="false">
      <c r="A218" s="28" t="s">
        <v>744</v>
      </c>
      <c r="B218" s="15" t="s">
        <v>774</v>
      </c>
      <c r="C218" s="15" t="s">
        <v>575</v>
      </c>
      <c r="D218" s="29" t="n">
        <v>40</v>
      </c>
      <c r="E218" s="29" t="s">
        <v>55</v>
      </c>
      <c r="F218" s="30" t="n">
        <v>70.2</v>
      </c>
      <c r="G218" s="31" t="n">
        <f aca="false">D218*F218</f>
        <v>2808</v>
      </c>
      <c r="H218" s="32" t="s">
        <v>746</v>
      </c>
    </row>
    <row r="219" customFormat="false" ht="15" hidden="false" customHeight="false" outlineLevel="0" collapsed="false">
      <c r="A219" s="28" t="s">
        <v>744</v>
      </c>
      <c r="B219" s="15" t="s">
        <v>718</v>
      </c>
      <c r="C219" s="15" t="s">
        <v>575</v>
      </c>
      <c r="D219" s="29" t="n">
        <v>40</v>
      </c>
      <c r="E219" s="29" t="s">
        <v>55</v>
      </c>
      <c r="F219" s="30" t="n">
        <v>21.58</v>
      </c>
      <c r="G219" s="31" t="n">
        <f aca="false">D219*F219</f>
        <v>863.2</v>
      </c>
      <c r="H219" s="32" t="s">
        <v>746</v>
      </c>
    </row>
    <row r="220" customFormat="false" ht="15" hidden="false" customHeight="false" outlineLevel="0" collapsed="false">
      <c r="A220" s="28" t="s">
        <v>744</v>
      </c>
      <c r="B220" s="15" t="s">
        <v>714</v>
      </c>
      <c r="C220" s="15" t="s">
        <v>575</v>
      </c>
      <c r="D220" s="29" t="n">
        <v>40</v>
      </c>
      <c r="E220" s="29" t="s">
        <v>39</v>
      </c>
      <c r="F220" s="30" t="n">
        <v>113.21</v>
      </c>
      <c r="G220" s="31" t="n">
        <f aca="false">D220*F220</f>
        <v>4528.4</v>
      </c>
      <c r="H220" s="32" t="s">
        <v>746</v>
      </c>
    </row>
    <row r="221" customFormat="false" ht="23.85" hidden="false" customHeight="false" outlineLevel="0" collapsed="false">
      <c r="A221" s="28" t="s">
        <v>744</v>
      </c>
      <c r="B221" s="15" t="s">
        <v>649</v>
      </c>
      <c r="C221" s="15" t="s">
        <v>575</v>
      </c>
      <c r="D221" s="29" t="n">
        <v>80</v>
      </c>
      <c r="E221" s="29" t="s">
        <v>55</v>
      </c>
      <c r="F221" s="30" t="n">
        <v>3.58</v>
      </c>
      <c r="G221" s="31" t="n">
        <f aca="false">D221*F221</f>
        <v>286.4</v>
      </c>
      <c r="H221" s="32" t="s">
        <v>746</v>
      </c>
    </row>
    <row r="222" customFormat="false" ht="15" hidden="false" customHeight="false" outlineLevel="0" collapsed="false">
      <c r="A222" s="28" t="s">
        <v>744</v>
      </c>
      <c r="B222" s="15" t="s">
        <v>775</v>
      </c>
      <c r="C222" s="15" t="s">
        <v>575</v>
      </c>
      <c r="D222" s="29" t="n">
        <v>40</v>
      </c>
      <c r="E222" s="29" t="s">
        <v>55</v>
      </c>
      <c r="F222" s="30" t="n">
        <v>4.28</v>
      </c>
      <c r="G222" s="31" t="n">
        <f aca="false">D222*F222</f>
        <v>171.2</v>
      </c>
      <c r="H222" s="32" t="s">
        <v>746</v>
      </c>
    </row>
    <row r="223" customFormat="false" ht="23.85" hidden="false" customHeight="false" outlineLevel="0" collapsed="false">
      <c r="A223" s="28" t="s">
        <v>744</v>
      </c>
      <c r="B223" s="15" t="s">
        <v>721</v>
      </c>
      <c r="C223" s="15" t="s">
        <v>575</v>
      </c>
      <c r="D223" s="29" t="n">
        <v>40</v>
      </c>
      <c r="E223" s="29" t="s">
        <v>55</v>
      </c>
      <c r="F223" s="30" t="n">
        <v>2.81</v>
      </c>
      <c r="G223" s="31" t="n">
        <f aca="false">D223*F223</f>
        <v>112.4</v>
      </c>
      <c r="H223" s="32" t="s">
        <v>746</v>
      </c>
    </row>
    <row r="224" customFormat="false" ht="15" hidden="false" customHeight="false" outlineLevel="0" collapsed="false">
      <c r="A224" s="28" t="s">
        <v>744</v>
      </c>
      <c r="B224" s="15" t="s">
        <v>776</v>
      </c>
      <c r="C224" s="15" t="s">
        <v>575</v>
      </c>
      <c r="D224" s="29" t="n">
        <v>40</v>
      </c>
      <c r="E224" s="29" t="s">
        <v>55</v>
      </c>
      <c r="F224" s="30" t="n">
        <v>0.9</v>
      </c>
      <c r="G224" s="31" t="n">
        <f aca="false">D224*F224</f>
        <v>36</v>
      </c>
      <c r="H224" s="32" t="s">
        <v>746</v>
      </c>
    </row>
    <row r="225" customFormat="false" ht="15" hidden="false" customHeight="false" outlineLevel="0" collapsed="false">
      <c r="A225" s="28" t="s">
        <v>744</v>
      </c>
      <c r="B225" s="15" t="s">
        <v>780</v>
      </c>
      <c r="C225" s="15" t="s">
        <v>575</v>
      </c>
      <c r="D225" s="29" t="n">
        <v>20</v>
      </c>
      <c r="E225" s="29" t="s">
        <v>39</v>
      </c>
      <c r="F225" s="30" t="n">
        <v>149.67</v>
      </c>
      <c r="G225" s="31" t="n">
        <f aca="false">D225*F225</f>
        <v>2993.4</v>
      </c>
      <c r="H225" s="32" t="s">
        <v>746</v>
      </c>
    </row>
    <row r="226" customFormat="false" ht="15" hidden="false" customHeight="false" outlineLevel="0" collapsed="false">
      <c r="A226" s="28" t="s">
        <v>744</v>
      </c>
      <c r="B226" s="15" t="s">
        <v>781</v>
      </c>
      <c r="C226" s="15" t="s">
        <v>575</v>
      </c>
      <c r="D226" s="29" t="n">
        <v>10</v>
      </c>
      <c r="E226" s="29" t="s">
        <v>39</v>
      </c>
      <c r="F226" s="30" t="n">
        <v>196.02</v>
      </c>
      <c r="G226" s="31" t="n">
        <f aca="false">D226*F226</f>
        <v>1960.2</v>
      </c>
      <c r="H226" s="32" t="s">
        <v>746</v>
      </c>
    </row>
    <row r="227" customFormat="false" ht="15" hidden="false" customHeight="false" outlineLevel="0" collapsed="false">
      <c r="A227" s="28" t="s">
        <v>744</v>
      </c>
      <c r="B227" s="15" t="s">
        <v>772</v>
      </c>
      <c r="C227" s="15" t="s">
        <v>575</v>
      </c>
      <c r="D227" s="29" t="n">
        <v>36</v>
      </c>
      <c r="E227" s="29" t="s">
        <v>39</v>
      </c>
      <c r="F227" s="30" t="n">
        <v>285.92</v>
      </c>
      <c r="G227" s="31" t="n">
        <f aca="false">D227*F227</f>
        <v>10293.12</v>
      </c>
      <c r="H227" s="32" t="s">
        <v>746</v>
      </c>
    </row>
    <row r="228" customFormat="false" ht="15" hidden="false" customHeight="false" outlineLevel="0" collapsed="false">
      <c r="A228" s="28" t="s">
        <v>744</v>
      </c>
      <c r="B228" s="15" t="s">
        <v>785</v>
      </c>
      <c r="C228" s="15" t="s">
        <v>575</v>
      </c>
      <c r="D228" s="29" t="n">
        <v>35</v>
      </c>
      <c r="E228" s="29" t="s">
        <v>55</v>
      </c>
      <c r="F228" s="30" t="n">
        <v>343.32</v>
      </c>
      <c r="G228" s="31" t="n">
        <f aca="false">D228*F228</f>
        <v>12016.2</v>
      </c>
      <c r="H228" s="32" t="s">
        <v>746</v>
      </c>
    </row>
    <row r="229" customFormat="false" ht="15" hidden="false" customHeight="false" outlineLevel="0" collapsed="false">
      <c r="A229" s="28" t="s">
        <v>744</v>
      </c>
      <c r="B229" s="15" t="s">
        <v>774</v>
      </c>
      <c r="C229" s="15" t="s">
        <v>575</v>
      </c>
      <c r="D229" s="29" t="n">
        <v>75</v>
      </c>
      <c r="E229" s="29" t="s">
        <v>55</v>
      </c>
      <c r="F229" s="30" t="n">
        <v>70.2</v>
      </c>
      <c r="G229" s="31" t="n">
        <f aca="false">D229*F229</f>
        <v>5265</v>
      </c>
      <c r="H229" s="32" t="s">
        <v>746</v>
      </c>
    </row>
    <row r="230" customFormat="false" ht="15" hidden="false" customHeight="false" outlineLevel="0" collapsed="false">
      <c r="A230" s="28" t="s">
        <v>744</v>
      </c>
      <c r="B230" s="15" t="s">
        <v>775</v>
      </c>
      <c r="C230" s="15" t="s">
        <v>575</v>
      </c>
      <c r="D230" s="29" t="n">
        <v>75</v>
      </c>
      <c r="E230" s="29" t="s">
        <v>55</v>
      </c>
      <c r="F230" s="30" t="n">
        <v>4.28</v>
      </c>
      <c r="G230" s="31" t="n">
        <f aca="false">D230*F230</f>
        <v>321</v>
      </c>
      <c r="H230" s="32" t="s">
        <v>746</v>
      </c>
    </row>
    <row r="231" customFormat="false" ht="23.85" hidden="false" customHeight="false" outlineLevel="0" collapsed="false">
      <c r="A231" s="28" t="s">
        <v>744</v>
      </c>
      <c r="B231" s="15" t="s">
        <v>721</v>
      </c>
      <c r="C231" s="15" t="s">
        <v>575</v>
      </c>
      <c r="D231" s="29" t="n">
        <v>75</v>
      </c>
      <c r="E231" s="29" t="s">
        <v>55</v>
      </c>
      <c r="F231" s="30" t="n">
        <v>2.81</v>
      </c>
      <c r="G231" s="31" t="n">
        <f aca="false">D231*F231</f>
        <v>210.75</v>
      </c>
      <c r="H231" s="32" t="s">
        <v>746</v>
      </c>
    </row>
    <row r="232" customFormat="false" ht="15" hidden="false" customHeight="false" outlineLevel="0" collapsed="false">
      <c r="A232" s="28" t="s">
        <v>744</v>
      </c>
      <c r="B232" s="15" t="s">
        <v>776</v>
      </c>
      <c r="C232" s="15" t="s">
        <v>575</v>
      </c>
      <c r="D232" s="29" t="n">
        <v>75</v>
      </c>
      <c r="E232" s="29" t="s">
        <v>55</v>
      </c>
      <c r="F232" s="30" t="n">
        <v>0.9</v>
      </c>
      <c r="G232" s="31" t="n">
        <f aca="false">D232*F232</f>
        <v>67.5</v>
      </c>
      <c r="H232" s="32" t="s">
        <v>746</v>
      </c>
    </row>
    <row r="233" customFormat="false" ht="15" hidden="false" customHeight="false" outlineLevel="0" collapsed="false">
      <c r="A233" s="28" t="s">
        <v>744</v>
      </c>
      <c r="B233" s="15" t="s">
        <v>780</v>
      </c>
      <c r="C233" s="15" t="s">
        <v>575</v>
      </c>
      <c r="D233" s="29" t="n">
        <v>36</v>
      </c>
      <c r="E233" s="29" t="s">
        <v>39</v>
      </c>
      <c r="F233" s="30" t="n">
        <v>149.67</v>
      </c>
      <c r="G233" s="31" t="n">
        <f aca="false">D233*F233</f>
        <v>5388.12</v>
      </c>
      <c r="H233" s="32" t="s">
        <v>746</v>
      </c>
    </row>
    <row r="234" customFormat="false" ht="15" hidden="false" customHeight="false" outlineLevel="0" collapsed="false">
      <c r="A234" s="28" t="s">
        <v>744</v>
      </c>
      <c r="B234" s="15" t="s">
        <v>781</v>
      </c>
      <c r="C234" s="15" t="s">
        <v>575</v>
      </c>
      <c r="D234" s="29" t="n">
        <v>18</v>
      </c>
      <c r="E234" s="29" t="s">
        <v>39</v>
      </c>
      <c r="F234" s="30" t="n">
        <v>196.02</v>
      </c>
      <c r="G234" s="31" t="n">
        <f aca="false">D234*F234</f>
        <v>3528.36</v>
      </c>
      <c r="H234" s="32" t="s">
        <v>746</v>
      </c>
    </row>
    <row r="235" customFormat="false" ht="15" hidden="false" customHeight="false" outlineLevel="0" collapsed="false">
      <c r="A235" s="28" t="s">
        <v>744</v>
      </c>
      <c r="B235" s="15" t="s">
        <v>783</v>
      </c>
      <c r="C235" s="15" t="s">
        <v>575</v>
      </c>
      <c r="D235" s="29" t="n">
        <v>102</v>
      </c>
      <c r="E235" s="29" t="s">
        <v>55</v>
      </c>
      <c r="F235" s="30" t="n">
        <v>137.26</v>
      </c>
      <c r="G235" s="31" t="n">
        <f aca="false">D235*F235</f>
        <v>14000.52</v>
      </c>
      <c r="H235" s="32" t="s">
        <v>746</v>
      </c>
    </row>
    <row r="236" customFormat="false" ht="15" hidden="false" customHeight="false" outlineLevel="0" collapsed="false">
      <c r="A236" s="28" t="s">
        <v>744</v>
      </c>
      <c r="B236" s="15" t="s">
        <v>784</v>
      </c>
      <c r="C236" s="15" t="s">
        <v>575</v>
      </c>
      <c r="D236" s="29" t="n">
        <v>102</v>
      </c>
      <c r="E236" s="29" t="s">
        <v>55</v>
      </c>
      <c r="F236" s="30" t="n">
        <v>15.39</v>
      </c>
      <c r="G236" s="31" t="n">
        <f aca="false">D236*F236</f>
        <v>1569.78</v>
      </c>
      <c r="H236" s="32" t="s">
        <v>746</v>
      </c>
    </row>
    <row r="237" customFormat="false" ht="15" hidden="false" customHeight="false" outlineLevel="0" collapsed="false">
      <c r="A237" s="28" t="s">
        <v>744</v>
      </c>
      <c r="B237" s="15" t="s">
        <v>714</v>
      </c>
      <c r="C237" s="15" t="s">
        <v>575</v>
      </c>
      <c r="D237" s="29" t="n">
        <v>612</v>
      </c>
      <c r="E237" s="29" t="s">
        <v>39</v>
      </c>
      <c r="F237" s="30" t="n">
        <v>113.21</v>
      </c>
      <c r="G237" s="31" t="n">
        <f aca="false">D237*F237</f>
        <v>69284.52</v>
      </c>
      <c r="H237" s="32" t="s">
        <v>746</v>
      </c>
    </row>
    <row r="238" customFormat="false" ht="23.85" hidden="false" customHeight="false" outlineLevel="0" collapsed="false">
      <c r="A238" s="28" t="s">
        <v>744</v>
      </c>
      <c r="B238" s="15" t="s">
        <v>649</v>
      </c>
      <c r="C238" s="15" t="s">
        <v>575</v>
      </c>
      <c r="D238" s="29" t="n">
        <v>204</v>
      </c>
      <c r="E238" s="29" t="s">
        <v>55</v>
      </c>
      <c r="F238" s="30" t="n">
        <v>3.58</v>
      </c>
      <c r="G238" s="31" t="n">
        <f aca="false">D238*F238</f>
        <v>730.32</v>
      </c>
      <c r="H238" s="32" t="s">
        <v>746</v>
      </c>
    </row>
    <row r="239" customFormat="false" ht="23.85" hidden="false" customHeight="false" outlineLevel="0" collapsed="false">
      <c r="A239" s="28" t="s">
        <v>744</v>
      </c>
      <c r="B239" s="15" t="s">
        <v>721</v>
      </c>
      <c r="C239" s="15" t="s">
        <v>575</v>
      </c>
      <c r="D239" s="29" t="n">
        <v>204</v>
      </c>
      <c r="E239" s="29" t="s">
        <v>55</v>
      </c>
      <c r="F239" s="30" t="n">
        <v>2.81</v>
      </c>
      <c r="G239" s="31" t="n">
        <f aca="false">D239*F239</f>
        <v>573.24</v>
      </c>
      <c r="H239" s="32" t="s">
        <v>746</v>
      </c>
    </row>
    <row r="240" customFormat="false" ht="15" hidden="false" customHeight="false" outlineLevel="0" collapsed="false">
      <c r="A240" s="28" t="s">
        <v>744</v>
      </c>
      <c r="B240" s="15" t="s">
        <v>776</v>
      </c>
      <c r="C240" s="15" t="s">
        <v>575</v>
      </c>
      <c r="D240" s="29" t="n">
        <v>204</v>
      </c>
      <c r="E240" s="29" t="s">
        <v>55</v>
      </c>
      <c r="F240" s="30" t="n">
        <v>0.9</v>
      </c>
      <c r="G240" s="31" t="n">
        <f aca="false">D240*F240</f>
        <v>183.6</v>
      </c>
      <c r="H240" s="32" t="s">
        <v>746</v>
      </c>
    </row>
    <row r="241" customFormat="false" ht="15" hidden="false" customHeight="false" outlineLevel="0" collapsed="false">
      <c r="A241" s="28" t="s">
        <v>744</v>
      </c>
      <c r="B241" s="15" t="s">
        <v>718</v>
      </c>
      <c r="C241" s="15" t="s">
        <v>575</v>
      </c>
      <c r="D241" s="29" t="n">
        <v>714</v>
      </c>
      <c r="E241" s="29" t="s">
        <v>55</v>
      </c>
      <c r="F241" s="30" t="n">
        <v>21.58</v>
      </c>
      <c r="G241" s="31" t="n">
        <f aca="false">D241*F241</f>
        <v>15408.12</v>
      </c>
      <c r="H241" s="32" t="s">
        <v>746</v>
      </c>
    </row>
    <row r="242" customFormat="false" ht="15" hidden="false" customHeight="false" outlineLevel="0" collapsed="false">
      <c r="A242" s="28" t="s">
        <v>744</v>
      </c>
      <c r="B242" s="15" t="s">
        <v>786</v>
      </c>
      <c r="C242" s="15" t="s">
        <v>787</v>
      </c>
      <c r="D242" s="29" t="n">
        <v>56</v>
      </c>
      <c r="E242" s="29" t="s">
        <v>788</v>
      </c>
      <c r="F242" s="30" t="n">
        <v>197.99</v>
      </c>
      <c r="G242" s="31" t="n">
        <f aca="false">D242*F242</f>
        <v>11087.44</v>
      </c>
      <c r="H242" s="32" t="s">
        <v>746</v>
      </c>
    </row>
    <row r="243" customFormat="false" ht="15" hidden="false" customHeight="false" outlineLevel="0" collapsed="false">
      <c r="A243" s="28" t="s">
        <v>744</v>
      </c>
      <c r="B243" s="15" t="s">
        <v>750</v>
      </c>
      <c r="C243" s="15" t="s">
        <v>575</v>
      </c>
      <c r="D243" s="29" t="n">
        <v>2400</v>
      </c>
      <c r="E243" s="29" t="s">
        <v>39</v>
      </c>
      <c r="F243" s="30" t="n">
        <v>32.17</v>
      </c>
      <c r="G243" s="31" t="n">
        <f aca="false">D243*F243</f>
        <v>77208</v>
      </c>
      <c r="H243" s="32" t="s">
        <v>746</v>
      </c>
    </row>
    <row r="244" customFormat="false" ht="15" hidden="false" customHeight="false" outlineLevel="0" collapsed="false">
      <c r="A244" s="28" t="s">
        <v>744</v>
      </c>
      <c r="B244" s="15" t="s">
        <v>751</v>
      </c>
      <c r="C244" s="15" t="s">
        <v>575</v>
      </c>
      <c r="D244" s="29" t="n">
        <v>223</v>
      </c>
      <c r="E244" s="29" t="s">
        <v>55</v>
      </c>
      <c r="F244" s="30" t="n">
        <v>9.37</v>
      </c>
      <c r="G244" s="31" t="n">
        <f aca="false">D244*F244</f>
        <v>2089.51</v>
      </c>
      <c r="H244" s="32" t="s">
        <v>746</v>
      </c>
    </row>
    <row r="245" customFormat="false" ht="15" hidden="false" customHeight="false" outlineLevel="0" collapsed="false">
      <c r="A245" s="28" t="s">
        <v>744</v>
      </c>
      <c r="B245" s="15" t="s">
        <v>752</v>
      </c>
      <c r="C245" s="15" t="s">
        <v>575</v>
      </c>
      <c r="D245" s="29" t="n">
        <v>446</v>
      </c>
      <c r="E245" s="29" t="s">
        <v>55</v>
      </c>
      <c r="F245" s="30" t="n">
        <v>9.98</v>
      </c>
      <c r="G245" s="31" t="n">
        <f aca="false">D245*F245</f>
        <v>4451.08</v>
      </c>
      <c r="H245" s="32" t="s">
        <v>746</v>
      </c>
    </row>
    <row r="246" customFormat="false" ht="15" hidden="false" customHeight="false" outlineLevel="0" collapsed="false">
      <c r="A246" s="28" t="s">
        <v>744</v>
      </c>
      <c r="B246" s="15" t="s">
        <v>753</v>
      </c>
      <c r="C246" s="15" t="s">
        <v>725</v>
      </c>
      <c r="D246" s="29" t="n">
        <v>223</v>
      </c>
      <c r="E246" s="29" t="s">
        <v>55</v>
      </c>
      <c r="F246" s="30" t="n">
        <v>34.62</v>
      </c>
      <c r="G246" s="31" t="n">
        <f aca="false">D246*F246</f>
        <v>7720.26</v>
      </c>
      <c r="H246" s="32" t="s">
        <v>746</v>
      </c>
    </row>
    <row r="247" customFormat="false" ht="15" hidden="false" customHeight="false" outlineLevel="0" collapsed="false">
      <c r="A247" s="28" t="s">
        <v>744</v>
      </c>
      <c r="B247" s="15" t="s">
        <v>754</v>
      </c>
      <c r="C247" s="15" t="s">
        <v>575</v>
      </c>
      <c r="D247" s="29" t="n">
        <v>223</v>
      </c>
      <c r="E247" s="29" t="s">
        <v>55</v>
      </c>
      <c r="F247" s="30" t="n">
        <v>82.11</v>
      </c>
      <c r="G247" s="31" t="n">
        <f aca="false">D247*F247</f>
        <v>18310.53</v>
      </c>
      <c r="H247" s="32" t="s">
        <v>746</v>
      </c>
    </row>
    <row r="248" customFormat="false" ht="15" hidden="false" customHeight="false" outlineLevel="0" collapsed="false">
      <c r="A248" s="28" t="s">
        <v>744</v>
      </c>
      <c r="B248" s="15" t="s">
        <v>755</v>
      </c>
      <c r="C248" s="15" t="s">
        <v>575</v>
      </c>
      <c r="D248" s="29" t="n">
        <v>223</v>
      </c>
      <c r="E248" s="29" t="s">
        <v>55</v>
      </c>
      <c r="F248" s="30" t="n">
        <v>6.44</v>
      </c>
      <c r="G248" s="31" t="n">
        <f aca="false">D248*F248</f>
        <v>1436.12</v>
      </c>
      <c r="H248" s="32" t="s">
        <v>746</v>
      </c>
    </row>
    <row r="249" customFormat="false" ht="15" hidden="false" customHeight="false" outlineLevel="0" collapsed="false">
      <c r="A249" s="28" t="s">
        <v>744</v>
      </c>
      <c r="B249" s="15" t="s">
        <v>758</v>
      </c>
      <c r="C249" s="15" t="s">
        <v>575</v>
      </c>
      <c r="D249" s="29" t="n">
        <v>2230</v>
      </c>
      <c r="E249" s="29" t="s">
        <v>55</v>
      </c>
      <c r="F249" s="30" t="n">
        <v>5.24</v>
      </c>
      <c r="G249" s="31" t="n">
        <f aca="false">D249*F249</f>
        <v>11685.2</v>
      </c>
      <c r="H249" s="32" t="s">
        <v>746</v>
      </c>
    </row>
    <row r="250" customFormat="false" ht="15" hidden="false" customHeight="false" outlineLevel="0" collapsed="false">
      <c r="A250" s="28" t="s">
        <v>744</v>
      </c>
      <c r="B250" s="15" t="s">
        <v>789</v>
      </c>
      <c r="C250" s="15" t="s">
        <v>575</v>
      </c>
      <c r="D250" s="29" t="n">
        <v>3</v>
      </c>
      <c r="E250" s="29" t="s">
        <v>55</v>
      </c>
      <c r="F250" s="30" t="n">
        <v>3665.82</v>
      </c>
      <c r="G250" s="31" t="n">
        <f aca="false">D250*F250</f>
        <v>10997.46</v>
      </c>
      <c r="H250" s="32" t="s">
        <v>746</v>
      </c>
    </row>
    <row r="251" customFormat="false" ht="15" hidden="false" customHeight="false" outlineLevel="0" collapsed="false">
      <c r="A251" s="28" t="s">
        <v>744</v>
      </c>
      <c r="B251" s="15" t="s">
        <v>790</v>
      </c>
      <c r="C251" s="15" t="s">
        <v>575</v>
      </c>
      <c r="D251" s="29" t="n">
        <v>1</v>
      </c>
      <c r="E251" s="29" t="s">
        <v>55</v>
      </c>
      <c r="F251" s="30" t="n">
        <v>9430.21</v>
      </c>
      <c r="G251" s="31" t="n">
        <f aca="false">D251*F251</f>
        <v>9430.21</v>
      </c>
      <c r="H251" s="32" t="s">
        <v>746</v>
      </c>
    </row>
    <row r="252" customFormat="false" ht="15" hidden="false" customHeight="false" outlineLevel="0" collapsed="false">
      <c r="A252" s="28" t="s">
        <v>744</v>
      </c>
      <c r="B252" s="15" t="s">
        <v>791</v>
      </c>
      <c r="C252" s="15" t="s">
        <v>575</v>
      </c>
      <c r="D252" s="29" t="n">
        <v>1</v>
      </c>
      <c r="E252" s="29" t="s">
        <v>55</v>
      </c>
      <c r="F252" s="30" t="n">
        <v>456.4</v>
      </c>
      <c r="G252" s="31" t="n">
        <f aca="false">D252*F252</f>
        <v>456.4</v>
      </c>
      <c r="H252" s="32" t="s">
        <v>746</v>
      </c>
    </row>
    <row r="253" customFormat="false" ht="15" hidden="false" customHeight="false" outlineLevel="0" collapsed="false">
      <c r="A253" s="28" t="s">
        <v>744</v>
      </c>
      <c r="B253" s="15" t="s">
        <v>792</v>
      </c>
      <c r="C253" s="15" t="s">
        <v>575</v>
      </c>
      <c r="D253" s="29" t="n">
        <v>500</v>
      </c>
      <c r="E253" s="29" t="s">
        <v>55</v>
      </c>
      <c r="F253" s="30" t="n">
        <v>0.39</v>
      </c>
      <c r="G253" s="31" t="n">
        <f aca="false">D253*F253</f>
        <v>195</v>
      </c>
      <c r="H253" s="32" t="s">
        <v>746</v>
      </c>
    </row>
    <row r="254" customFormat="false" ht="15" hidden="false" customHeight="false" outlineLevel="0" collapsed="false">
      <c r="A254" s="28" t="s">
        <v>744</v>
      </c>
      <c r="B254" s="15" t="s">
        <v>793</v>
      </c>
      <c r="C254" s="15" t="s">
        <v>575</v>
      </c>
      <c r="D254" s="29" t="n">
        <v>480</v>
      </c>
      <c r="E254" s="29" t="s">
        <v>55</v>
      </c>
      <c r="F254" s="30" t="n">
        <v>8.85</v>
      </c>
      <c r="G254" s="31" t="n">
        <f aca="false">D254*F254</f>
        <v>4248</v>
      </c>
      <c r="H254" s="32" t="s">
        <v>746</v>
      </c>
    </row>
    <row r="255" customFormat="false" ht="15" hidden="false" customHeight="false" outlineLevel="0" collapsed="false">
      <c r="A255" s="28" t="s">
        <v>744</v>
      </c>
      <c r="B255" s="15" t="s">
        <v>794</v>
      </c>
      <c r="C255" s="15" t="s">
        <v>575</v>
      </c>
      <c r="D255" s="29" t="n">
        <v>25</v>
      </c>
      <c r="E255" s="29" t="s">
        <v>55</v>
      </c>
      <c r="F255" s="30" t="n">
        <v>326.08</v>
      </c>
      <c r="G255" s="31" t="n">
        <f aca="false">D255*F255</f>
        <v>8152</v>
      </c>
      <c r="H255" s="32" t="s">
        <v>746</v>
      </c>
    </row>
    <row r="256" customFormat="false" ht="15" hidden="false" customHeight="false" outlineLevel="0" collapsed="false">
      <c r="A256" s="28" t="s">
        <v>744</v>
      </c>
      <c r="B256" s="15" t="s">
        <v>795</v>
      </c>
      <c r="C256" s="15" t="s">
        <v>575</v>
      </c>
      <c r="D256" s="29" t="n">
        <v>144</v>
      </c>
      <c r="E256" s="29" t="s">
        <v>55</v>
      </c>
      <c r="F256" s="30" t="n">
        <v>5.84</v>
      </c>
      <c r="G256" s="31" t="n">
        <f aca="false">D256*F256</f>
        <v>840.96</v>
      </c>
      <c r="H256" s="32" t="s">
        <v>746</v>
      </c>
    </row>
    <row r="257" customFormat="false" ht="15" hidden="false" customHeight="false" outlineLevel="0" collapsed="false">
      <c r="A257" s="28" t="s">
        <v>744</v>
      </c>
      <c r="B257" s="15" t="s">
        <v>786</v>
      </c>
      <c r="C257" s="15" t="s">
        <v>787</v>
      </c>
      <c r="D257" s="29" t="n">
        <v>85</v>
      </c>
      <c r="E257" s="29" t="s">
        <v>788</v>
      </c>
      <c r="F257" s="30" t="n">
        <v>197.99</v>
      </c>
      <c r="G257" s="31" t="n">
        <f aca="false">D257*F257</f>
        <v>16829.15</v>
      </c>
      <c r="H257" s="32" t="s">
        <v>746</v>
      </c>
    </row>
    <row r="258" customFormat="false" ht="15" hidden="false" customHeight="false" outlineLevel="0" collapsed="false">
      <c r="A258" s="28" t="s">
        <v>744</v>
      </c>
      <c r="B258" s="15" t="s">
        <v>796</v>
      </c>
      <c r="C258" s="15" t="s">
        <v>612</v>
      </c>
      <c r="D258" s="29" t="n">
        <v>108</v>
      </c>
      <c r="E258" s="29" t="s">
        <v>55</v>
      </c>
      <c r="F258" s="30" t="n">
        <v>19.25</v>
      </c>
      <c r="G258" s="31" t="n">
        <f aca="false">D258*F258</f>
        <v>2079</v>
      </c>
      <c r="H258" s="32" t="s">
        <v>746</v>
      </c>
    </row>
    <row r="259" customFormat="false" ht="37.3" hidden="false" customHeight="false" outlineLevel="0" collapsed="false">
      <c r="A259" s="33"/>
      <c r="B259" s="34" t="s">
        <v>797</v>
      </c>
      <c r="C259" s="33"/>
      <c r="D259" s="33"/>
      <c r="E259" s="33"/>
      <c r="F259" s="33"/>
      <c r="G259" s="35" t="n">
        <v>31608949.21</v>
      </c>
      <c r="H259" s="36" t="s">
        <v>798</v>
      </c>
    </row>
    <row r="261" customFormat="false" ht="15" hidden="false" customHeight="false" outlineLevel="0" collapsed="false">
      <c r="A261" s="37" t="s">
        <v>799</v>
      </c>
      <c r="B261" s="37"/>
      <c r="C261" s="37"/>
      <c r="D261" s="37"/>
      <c r="E261" s="37"/>
      <c r="F261" s="37"/>
      <c r="G261" s="37"/>
      <c r="H261" s="37"/>
    </row>
    <row r="262" customFormat="false" ht="23.85" hidden="false" customHeight="false" outlineLevel="0" collapsed="false">
      <c r="A262" s="28" t="s">
        <v>744</v>
      </c>
      <c r="B262" s="15" t="s">
        <v>800</v>
      </c>
      <c r="C262" s="28" t="s">
        <v>801</v>
      </c>
      <c r="D262" s="29" t="n">
        <v>1</v>
      </c>
      <c r="E262" s="29" t="s">
        <v>82</v>
      </c>
      <c r="F262" s="38"/>
      <c r="G262" s="39" t="n">
        <v>269554</v>
      </c>
      <c r="H262" s="32" t="s">
        <v>802</v>
      </c>
    </row>
    <row r="263" customFormat="false" ht="28.35" hidden="false" customHeight="false" outlineLevel="0" collapsed="false">
      <c r="A263" s="28" t="s">
        <v>744</v>
      </c>
      <c r="B263" s="15" t="s">
        <v>803</v>
      </c>
      <c r="C263" s="28" t="s">
        <v>804</v>
      </c>
      <c r="D263" s="29" t="n">
        <v>1</v>
      </c>
      <c r="E263" s="29" t="s">
        <v>82</v>
      </c>
      <c r="F263" s="38"/>
      <c r="G263" s="38"/>
      <c r="H263" s="32" t="s">
        <v>805</v>
      </c>
    </row>
    <row r="264" customFormat="false" ht="19.4" hidden="false" customHeight="false" outlineLevel="0" collapsed="false">
      <c r="A264" s="28" t="s">
        <v>744</v>
      </c>
      <c r="B264" s="15" t="s">
        <v>806</v>
      </c>
      <c r="C264" s="28" t="s">
        <v>807</v>
      </c>
      <c r="D264" s="29" t="n">
        <v>1</v>
      </c>
      <c r="E264" s="29" t="s">
        <v>82</v>
      </c>
      <c r="F264" s="38"/>
      <c r="G264" s="38"/>
      <c r="H264" s="32" t="s">
        <v>808</v>
      </c>
    </row>
    <row r="265" customFormat="false" ht="19.4" hidden="false" customHeight="false" outlineLevel="0" collapsed="false">
      <c r="A265" s="28" t="s">
        <v>573</v>
      </c>
      <c r="B265" s="15" t="s">
        <v>809</v>
      </c>
      <c r="C265" s="28" t="s">
        <v>810</v>
      </c>
      <c r="D265" s="29" t="n">
        <v>1</v>
      </c>
      <c r="E265" s="29" t="s">
        <v>82</v>
      </c>
      <c r="F265" s="38"/>
      <c r="G265" s="39" t="n">
        <v>56978</v>
      </c>
      <c r="H265" s="32" t="s">
        <v>811</v>
      </c>
    </row>
    <row r="266" customFormat="false" ht="19.4" hidden="false" customHeight="false" outlineLevel="0" collapsed="false">
      <c r="A266" s="28" t="s">
        <v>573</v>
      </c>
      <c r="B266" s="15" t="s">
        <v>812</v>
      </c>
      <c r="C266" s="28" t="s">
        <v>813</v>
      </c>
      <c r="D266" s="29" t="n">
        <v>28</v>
      </c>
      <c r="E266" s="29" t="s">
        <v>55</v>
      </c>
      <c r="F266" s="30" t="n">
        <v>341</v>
      </c>
      <c r="G266" s="39" t="n">
        <v>9548</v>
      </c>
      <c r="H266" s="32" t="s">
        <v>814</v>
      </c>
    </row>
    <row r="267" customFormat="false" ht="15" hidden="false" customHeight="false" outlineLevel="0" collapsed="false">
      <c r="A267" s="28" t="s">
        <v>72</v>
      </c>
      <c r="B267" s="15" t="s">
        <v>815</v>
      </c>
      <c r="C267" s="28" t="s">
        <v>90</v>
      </c>
      <c r="D267" s="29" t="n">
        <v>11</v>
      </c>
      <c r="E267" s="29" t="s">
        <v>151</v>
      </c>
      <c r="F267" s="38"/>
      <c r="G267" s="39" t="n">
        <v>38610</v>
      </c>
      <c r="H267" s="32" t="s">
        <v>816</v>
      </c>
    </row>
    <row r="268" customFormat="false" ht="23.85" hidden="false" customHeight="false" outlineLevel="0" collapsed="false">
      <c r="A268" s="28" t="s">
        <v>817</v>
      </c>
      <c r="B268" s="15" t="s">
        <v>818</v>
      </c>
      <c r="C268" s="28" t="s">
        <v>436</v>
      </c>
      <c r="D268" s="29" t="n">
        <v>1</v>
      </c>
      <c r="E268" s="29" t="s">
        <v>819</v>
      </c>
      <c r="F268" s="38"/>
      <c r="G268" s="38"/>
      <c r="H268" s="32" t="s">
        <v>820</v>
      </c>
    </row>
    <row r="269" customFormat="false" ht="28.35" hidden="false" customHeight="false" outlineLevel="0" collapsed="false">
      <c r="A269" s="28" t="s">
        <v>821</v>
      </c>
      <c r="B269" s="15" t="s">
        <v>822</v>
      </c>
      <c r="C269" s="28" t="s">
        <v>90</v>
      </c>
      <c r="D269" s="29" t="n">
        <v>1</v>
      </c>
      <c r="E269" s="29" t="s">
        <v>82</v>
      </c>
      <c r="F269" s="38"/>
      <c r="G269" s="38"/>
      <c r="H269" s="32" t="s">
        <v>823</v>
      </c>
    </row>
  </sheetData>
  <mergeCells count="8">
    <mergeCell ref="A1:H1"/>
    <mergeCell ref="A2:H2"/>
    <mergeCell ref="A5:H5"/>
    <mergeCell ref="A26:H26"/>
    <mergeCell ref="A48:H48"/>
    <mergeCell ref="A111:H111"/>
    <mergeCell ref="A170:H170"/>
    <mergeCell ref="A261:H2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21.75" hidden="false" customHeight="true" outlineLevel="0" collapsed="false">
      <c r="A1" s="40" t="s">
        <v>824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30" hidden="false" customHeight="true" outlineLevel="0" collapsed="false">
      <c r="A2" s="22" t="s">
        <v>825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customFormat="false" ht="23.85" hidden="false" customHeight="false" outlineLevel="0" collapsed="false">
      <c r="A4" s="26" t="s">
        <v>826</v>
      </c>
      <c r="B4" s="26" t="s">
        <v>30</v>
      </c>
      <c r="C4" s="26" t="s">
        <v>827</v>
      </c>
      <c r="D4" s="26" t="s">
        <v>828</v>
      </c>
      <c r="E4" s="26" t="s">
        <v>829</v>
      </c>
      <c r="F4" s="26" t="s">
        <v>830</v>
      </c>
      <c r="G4" s="26" t="s">
        <v>831</v>
      </c>
      <c r="H4" s="26" t="s">
        <v>832</v>
      </c>
      <c r="I4" s="26" t="s">
        <v>568</v>
      </c>
      <c r="J4" s="26" t="s">
        <v>833</v>
      </c>
      <c r="K4" s="26" t="s">
        <v>834</v>
      </c>
    </row>
    <row r="5" customFormat="false" ht="48" hidden="false" customHeight="true" outlineLevel="0" collapsed="false">
      <c r="A5" s="41" t="s">
        <v>835</v>
      </c>
      <c r="B5" s="29" t="s">
        <v>55</v>
      </c>
      <c r="C5" s="42" t="n">
        <v>218500</v>
      </c>
      <c r="D5" s="32" t="s">
        <v>836</v>
      </c>
      <c r="E5" s="43" t="n">
        <v>143323</v>
      </c>
      <c r="F5" s="32" t="s">
        <v>837</v>
      </c>
      <c r="G5" s="44" t="n">
        <f aca="false">E5-C5</f>
        <v>-75177</v>
      </c>
      <c r="H5" s="45" t="n">
        <f aca="false">IF(C5=0,"",E5/C5-1)</f>
        <v>-0.344059496567506</v>
      </c>
      <c r="I5" s="46" t="n">
        <v>36</v>
      </c>
      <c r="J5" s="47" t="n">
        <f aca="false">(E5-C5)*I5</f>
        <v>-2706372</v>
      </c>
      <c r="K5" s="41" t="s">
        <v>838</v>
      </c>
    </row>
    <row r="6" customFormat="false" ht="48" hidden="false" customHeight="true" outlineLevel="0" collapsed="false">
      <c r="A6" s="41" t="s">
        <v>839</v>
      </c>
      <c r="B6" s="29" t="s">
        <v>39</v>
      </c>
      <c r="C6" s="42" t="n">
        <v>251.11</v>
      </c>
      <c r="D6" s="32" t="s">
        <v>840</v>
      </c>
      <c r="E6" s="43" t="n">
        <v>39.12</v>
      </c>
      <c r="F6" s="32" t="s">
        <v>841</v>
      </c>
      <c r="G6" s="44" t="n">
        <f aca="false">E6-C6</f>
        <v>-211.99</v>
      </c>
      <c r="H6" s="45" t="n">
        <f aca="false">IF(C6=0,"",E6/C6-1)</f>
        <v>-0.84421170005177</v>
      </c>
      <c r="I6" s="46" t="n">
        <v>9036</v>
      </c>
      <c r="J6" s="47" t="n">
        <f aca="false">(E6-C6)*I6</f>
        <v>-1915541.64</v>
      </c>
      <c r="K6" s="41" t="s">
        <v>842</v>
      </c>
    </row>
    <row r="7" customFormat="false" ht="48" hidden="false" customHeight="true" outlineLevel="0" collapsed="false">
      <c r="A7" s="48" t="s">
        <v>843</v>
      </c>
      <c r="B7" s="29" t="s">
        <v>55</v>
      </c>
      <c r="C7" s="42" t="n">
        <v>6435.41</v>
      </c>
      <c r="D7" s="32" t="s">
        <v>844</v>
      </c>
      <c r="E7" s="43" t="n">
        <v>5721.42</v>
      </c>
      <c r="F7" s="32" t="s">
        <v>845</v>
      </c>
      <c r="G7" s="44" t="n">
        <f aca="false">E7-C7</f>
        <v>-713.99</v>
      </c>
      <c r="H7" s="45" t="n">
        <f aca="false">IF(C7=0,"",E7/C7-1)</f>
        <v>-0.110947088064319</v>
      </c>
      <c r="I7" s="46" t="n">
        <v>6</v>
      </c>
      <c r="J7" s="47" t="n">
        <f aca="false">(E7-C7)*I7</f>
        <v>-4283.94</v>
      </c>
      <c r="K7" s="48" t="s">
        <v>846</v>
      </c>
    </row>
    <row r="8" customFormat="false" ht="48" hidden="false" customHeight="true" outlineLevel="0" collapsed="false">
      <c r="A8" s="48" t="s">
        <v>847</v>
      </c>
      <c r="B8" s="29" t="s">
        <v>55</v>
      </c>
      <c r="C8" s="42" t="n">
        <v>6074.14</v>
      </c>
      <c r="D8" s="32" t="s">
        <v>844</v>
      </c>
      <c r="E8" s="43" t="n">
        <v>4641.64</v>
      </c>
      <c r="F8" s="32" t="s">
        <v>848</v>
      </c>
      <c r="G8" s="44" t="n">
        <f aca="false">E8-C8</f>
        <v>-1432.5</v>
      </c>
      <c r="H8" s="45" t="n">
        <f aca="false">IF(C8=0,"",E8/C8-1)</f>
        <v>-0.235835854952306</v>
      </c>
      <c r="I8" s="46" t="n">
        <v>8</v>
      </c>
      <c r="J8" s="47" t="n">
        <f aca="false">(E8-C8)*I8</f>
        <v>-11460</v>
      </c>
      <c r="K8" s="48" t="s">
        <v>849</v>
      </c>
    </row>
    <row r="9" customFormat="false" ht="48" hidden="false" customHeight="true" outlineLevel="0" collapsed="false">
      <c r="A9" s="48" t="s">
        <v>850</v>
      </c>
      <c r="B9" s="29" t="s">
        <v>55</v>
      </c>
      <c r="C9" s="42" t="n">
        <v>12058.59</v>
      </c>
      <c r="D9" s="32" t="s">
        <v>844</v>
      </c>
      <c r="E9" s="43" t="n">
        <v>9776.7</v>
      </c>
      <c r="F9" s="32" t="s">
        <v>848</v>
      </c>
      <c r="G9" s="44" t="n">
        <f aca="false">E9-C9</f>
        <v>-2281.89</v>
      </c>
      <c r="H9" s="45" t="n">
        <f aca="false">IF(C9=0,"",E9/C9-1)</f>
        <v>-0.189233567108592</v>
      </c>
      <c r="I9" s="46" t="n">
        <v>6</v>
      </c>
      <c r="J9" s="47" t="n">
        <f aca="false">(E9-C9)*I9</f>
        <v>-13691.34</v>
      </c>
      <c r="K9" s="48" t="s">
        <v>851</v>
      </c>
    </row>
    <row r="10" customFormat="false" ht="48" hidden="false" customHeight="true" outlineLevel="0" collapsed="false">
      <c r="A10" s="49" t="s">
        <v>852</v>
      </c>
      <c r="B10" s="29" t="s">
        <v>39</v>
      </c>
      <c r="C10" s="42" t="n">
        <v>71.24</v>
      </c>
      <c r="D10" s="32" t="s">
        <v>853</v>
      </c>
      <c r="E10" s="43" t="n">
        <v>71.21</v>
      </c>
      <c r="F10" s="32" t="s">
        <v>854</v>
      </c>
      <c r="G10" s="44" t="n">
        <f aca="false">E10-C10</f>
        <v>-0.0300000000000011</v>
      </c>
      <c r="H10" s="45" t="n">
        <f aca="false">IF(C10=0,"",E10/C10-1)</f>
        <v>-0.000421111734980384</v>
      </c>
      <c r="I10" s="46" t="n">
        <v>550</v>
      </c>
      <c r="J10" s="47" t="n">
        <f aca="false">(E10-C10)*I10</f>
        <v>-16.5000000000006</v>
      </c>
      <c r="K10" s="49" t="s">
        <v>855</v>
      </c>
    </row>
    <row r="11" customFormat="false" ht="48" hidden="false" customHeight="true" outlineLevel="0" collapsed="false">
      <c r="A11" s="48" t="s">
        <v>856</v>
      </c>
      <c r="B11" s="29" t="s">
        <v>82</v>
      </c>
      <c r="C11" s="42" t="n">
        <v>7351291</v>
      </c>
      <c r="D11" s="32" t="s">
        <v>857</v>
      </c>
      <c r="E11" s="43" t="n">
        <v>12001266</v>
      </c>
      <c r="F11" s="32" t="s">
        <v>858</v>
      </c>
      <c r="G11" s="44" t="n">
        <f aca="false">E11-C11</f>
        <v>4649975</v>
      </c>
      <c r="H11" s="45" t="n">
        <f aca="false">IF(C11=0,"",E11/C11-1)</f>
        <v>0.632538556833079</v>
      </c>
      <c r="I11" s="46" t="n">
        <v>1</v>
      </c>
      <c r="J11" s="47" t="n">
        <f aca="false">(E11-C11)*I11</f>
        <v>4649975</v>
      </c>
      <c r="K11" s="48" t="s">
        <v>859</v>
      </c>
    </row>
    <row r="12" customFormat="false" ht="48" hidden="false" customHeight="true" outlineLevel="0" collapsed="false">
      <c r="A12" s="48" t="s">
        <v>860</v>
      </c>
      <c r="B12" s="29" t="s">
        <v>82</v>
      </c>
      <c r="C12" s="42" t="n">
        <v>160000</v>
      </c>
      <c r="D12" s="32" t="s">
        <v>861</v>
      </c>
      <c r="E12" s="43" t="n">
        <v>51862</v>
      </c>
      <c r="F12" s="32" t="s">
        <v>862</v>
      </c>
      <c r="G12" s="44" t="n">
        <f aca="false">E12-C12</f>
        <v>-108138</v>
      </c>
      <c r="H12" s="45" t="n">
        <f aca="false">IF(C12=0,"",E12/C12-1)</f>
        <v>-0.6758625</v>
      </c>
      <c r="I12" s="46" t="n">
        <v>1</v>
      </c>
      <c r="J12" s="47" t="n">
        <f aca="false">(E12-C12)*I12</f>
        <v>-108138</v>
      </c>
      <c r="K12" s="48" t="s">
        <v>863</v>
      </c>
    </row>
    <row r="13" customFormat="false" ht="48" hidden="false" customHeight="true" outlineLevel="0" collapsed="false">
      <c r="A13" s="48" t="s">
        <v>864</v>
      </c>
      <c r="B13" s="29" t="s">
        <v>90</v>
      </c>
      <c r="C13" s="29" t="s">
        <v>865</v>
      </c>
      <c r="D13" s="32" t="s">
        <v>866</v>
      </c>
      <c r="E13" s="50" t="s">
        <v>867</v>
      </c>
      <c r="F13" s="32" t="s">
        <v>868</v>
      </c>
      <c r="G13" s="28"/>
      <c r="H13" s="28"/>
      <c r="I13" s="46"/>
      <c r="J13" s="28"/>
      <c r="K13" s="48" t="s">
        <v>869</v>
      </c>
    </row>
    <row r="14" customFormat="false" ht="30" hidden="false" customHeight="true" outlineLevel="0" collapsed="false">
      <c r="A14" s="51" t="s">
        <v>870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</row>
  </sheetData>
  <mergeCells count="3">
    <mergeCell ref="A1:K1"/>
    <mergeCell ref="A2:K2"/>
    <mergeCell ref="A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2026-07-05T12:50:39Z</dcterms:created>
  <dc:creator>openpyxl</dc:creator>
  <dc:description/>
  <dc:language>en-US</dc:language>
  <cp:lastModifiedBy/>
  <dcterms:modified xsi:type="dcterms:W3CDTF">2026-07-05T13:11:23Z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